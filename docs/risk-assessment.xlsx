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ets" sheetId="2" state="visible" r:id="rId4"/>
    <sheet name="Assumptions" sheetId="3" state="visible" r:id="rId5"/>
    <sheet name="Scoring Guide" sheetId="4" state="visible" r:id="rId6"/>
    <sheet name="Risk Register" sheetId="5" state="visible" r:id="rId7"/>
    <sheet name="Summary" sheetId="6" state="visible" r:id="rId8"/>
    <sheet name="Control Map" sheetId="7" state="visible" r:id="rId9"/>
    <sheet name="Remediation Plan" sheetId="8" state="visible" r:id="rId10"/>
    <sheet name="Evidence Tracker" sheetId="9" state="visible" r:id="rId11"/>
  </sheets>
  <definedNames>
    <definedName function="false" hidden="true" localSheetId="1" name="_xlnm._FilterDatabase" vbProcedure="false">Assets!$A$1:$J$19</definedName>
    <definedName function="false" hidden="true" localSheetId="6" name="_xlnm._FilterDatabase" vbProcedure="false">'Control Map'!$A$3:$G$27</definedName>
    <definedName function="false" hidden="true" localSheetId="4" name="_xlnm._FilterDatabase" vbProcedure="false">'Risk Register'!$A$1:$N$16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<sst xmlns="http://schemas.openxmlformats.org/spreadsheetml/2006/main" count="767" uniqueCount="516">
  <si>
    <t xml:space="preserve">Risk Assessment Workbook: Anita &amp; Daughters (Fictional)</t>
  </si>
  <si>
    <t xml:space="preserve">All people, companies, systems, and data in this workbook are fictional and were invented for a learning exercise.</t>
  </si>
  <si>
    <t xml:space="preserve">Tabs</t>
  </si>
  <si>
    <t xml:space="preserve">Tab</t>
  </si>
  <si>
    <t xml:space="preserve">What it holds</t>
  </si>
  <si>
    <t xml:space="preserve">Phase</t>
  </si>
  <si>
    <t xml:space="preserve">Status</t>
  </si>
  <si>
    <t xml:space="preserve">Assets</t>
  </si>
  <si>
    <t xml:space="preserve">Inventory of 18 assets with owner, data held, classification, and criticality</t>
  </si>
  <si>
    <t xml:space="preserve">2</t>
  </si>
  <si>
    <t xml:space="preserve">Complete</t>
  </si>
  <si>
    <t xml:space="preserve">Assumptions</t>
  </si>
  <si>
    <t xml:space="preserve">The invented starting conditions the risk register is based on</t>
  </si>
  <si>
    <t xml:space="preserve">2 and 3</t>
  </si>
  <si>
    <t xml:space="preserve">Scoring Guide</t>
  </si>
  <si>
    <t xml:space="preserve">Likelihood and impact scales, rating bands, treatment options, and definitions</t>
  </si>
  <si>
    <t xml:space="preserve">3</t>
  </si>
  <si>
    <t xml:space="preserve">Risk Register</t>
  </si>
  <si>
    <t xml:space="preserve">15 risks, each tied to an asset, scored and rated by formula</t>
  </si>
  <si>
    <t xml:space="preserve">Summary</t>
  </si>
  <si>
    <t xml:space="preserve">Counts by rating and treatment, key numbers, and a likelihood-by-impact heat map</t>
  </si>
  <si>
    <t xml:space="preserve">Control Map</t>
  </si>
  <si>
    <t xml:space="preserve">24 NIST CSF 2.0 controls with status, reason, and related risks</t>
  </si>
  <si>
    <t xml:space="preserve">4</t>
  </si>
  <si>
    <t xml:space="preserve">Remediation Plan</t>
  </si>
  <si>
    <t xml:space="preserve">Prioritized fixes with owners and target dates</t>
  </si>
  <si>
    <t xml:space="preserve">6</t>
  </si>
  <si>
    <t xml:space="preserve">To fill in</t>
  </si>
  <si>
    <t xml:space="preserve">Evidence Tracker</t>
  </si>
  <si>
    <t xml:space="preserve">Proof an auditor would ask for, per control</t>
  </si>
  <si>
    <t xml:space="preserve">7</t>
  </si>
  <si>
    <t xml:space="preserve">How to read it</t>
  </si>
  <si>
    <t xml:space="preserve">Blue text = a number you can change (scores, thresholds). Black text = a formula or fixed text. Do not type over formulas.</t>
  </si>
  <si>
    <t xml:space="preserve">Light yellow rows with grey italic text = EXAMPLE rows. Replace them with your own entries and delete the example.</t>
  </si>
  <si>
    <t xml:space="preserve">Score = Likelihood x Impact (maximum 25). The rating (Low, Medium, High, Critical) comes from the minimum scores on the Scoring Guide tab.</t>
  </si>
  <si>
    <t xml:space="preserve">Asset IDs link the Assets and Risk Register tabs. The Risk Register looks up the asset name from its ID, and Assets counts its linked risks.</t>
  </si>
  <si>
    <t xml:space="preserve">The dollar ranges, time frames, and starting conditions are assumptions invented for this fictional firm. They are documented on the Scoring Guide and Assumptions tabs.</t>
  </si>
  <si>
    <t xml:space="preserve">Asset ID</t>
  </si>
  <si>
    <t xml:space="preserve">Asset</t>
  </si>
  <si>
    <t xml:space="preserve">Type</t>
  </si>
  <si>
    <t xml:space="preserve">What it is or does</t>
  </si>
  <si>
    <t xml:space="preserve">Owner</t>
  </si>
  <si>
    <t xml:space="preserve">Data it holds</t>
  </si>
  <si>
    <t xml:space="preserve">Classification</t>
  </si>
  <si>
    <t xml:space="preserve">Criticality (1-5)</t>
  </si>
  <si>
    <t xml:space="preserve">Location</t>
  </si>
  <si>
    <t xml:space="preserve">Linked risks</t>
  </si>
  <si>
    <t xml:space="preserve">A-01</t>
  </si>
  <si>
    <t xml:space="preserve">Practice management and billing platform</t>
  </si>
  <si>
    <t xml:space="preserve">Application (cloud)</t>
  </si>
  <si>
    <t xml:space="preserve">Main system for patient accounts, charges, and claim creation</t>
  </si>
  <si>
    <t xml:space="preserve">Camille Williams, Billing Manager</t>
  </si>
  <si>
    <t xml:space="preserve">PHI</t>
  </si>
  <si>
    <t xml:space="preserve">Restricted</t>
  </si>
  <si>
    <t xml:space="preserve">Vendor cloud</t>
  </si>
  <si>
    <t xml:space="preserve">A-02</t>
  </si>
  <si>
    <t xml:space="preserve">Clearinghouse portal</t>
  </si>
  <si>
    <t xml:space="preserve">Application (third party)</t>
  </si>
  <si>
    <t xml:space="preserve">Submits claims to insurers and receives payments and denials</t>
  </si>
  <si>
    <t xml:space="preserve">Renee Washington, Claims and Denials Manager</t>
  </si>
  <si>
    <t xml:space="preserve">A-03</t>
  </si>
  <si>
    <t xml:space="preserve">Microsoft 365 tenant</t>
  </si>
  <si>
    <t xml:space="preserve">Cloud service</t>
  </si>
  <si>
    <t xml:space="preserve">Email, Teams chat, and OneDrive shared files</t>
  </si>
  <si>
    <t xml:space="preserve">Thanawat Charoen, IT Manager</t>
  </si>
  <si>
    <t xml:space="preserve">PHI in email and files; client contracts</t>
  </si>
  <si>
    <t xml:space="preserve">Microsoft cloud</t>
  </si>
  <si>
    <t xml:space="preserve">A-04</t>
  </si>
  <si>
    <t xml:space="preserve">Office file server</t>
  </si>
  <si>
    <t xml:space="preserve">Server</t>
  </si>
  <si>
    <t xml:space="preserve">Shared drives and scanned documents</t>
  </si>
  <si>
    <t xml:space="preserve">PHI; client contracts; scanned documents</t>
  </si>
  <si>
    <t xml:space="preserve">Newark office server room</t>
  </si>
  <si>
    <t xml:space="preserve">A-05</t>
  </si>
  <si>
    <t xml:space="preserve">Staff laptops and desktops (about 50)</t>
  </si>
  <si>
    <t xml:space="preserve">Endpoint</t>
  </si>
  <si>
    <t xml:space="preserve">Daily work devices for every employee</t>
  </si>
  <si>
    <t xml:space="preserve">Whatever each employee handles, including PHI</t>
  </si>
  <si>
    <t xml:space="preserve">Office and staff homes</t>
  </si>
  <si>
    <t xml:space="preserve">A-06</t>
  </si>
  <si>
    <t xml:space="preserve">VPN</t>
  </si>
  <si>
    <t xml:space="preserve">Network service</t>
  </si>
  <si>
    <t xml:space="preserve">Lets remote and hybrid staff reach office systems</t>
  </si>
  <si>
    <t xml:space="preserve">Traffic to internal systems</t>
  </si>
  <si>
    <t xml:space="preserve">Confidential</t>
  </si>
  <si>
    <t xml:space="preserve">Office firewall</t>
  </si>
  <si>
    <t xml:space="preserve">A-07</t>
  </si>
  <si>
    <t xml:space="preserve">Cloud backup service</t>
  </si>
  <si>
    <t xml:space="preserve">Nightly copies of the file server and key data</t>
  </si>
  <si>
    <t xml:space="preserve">Copies of all data types</t>
  </si>
  <si>
    <t xml:space="preserve">A-08</t>
  </si>
  <si>
    <t xml:space="preserve">Phone and call recording system</t>
  </si>
  <si>
    <t xml:space="preserve">Application</t>
  </si>
  <si>
    <t xml:space="preserve">Records client and patient calls</t>
  </si>
  <si>
    <t xml:space="preserve">Valerie Rivers, Customer Service Manager</t>
  </si>
  <si>
    <t xml:space="preserve">PHI spoken on calls; recordings</t>
  </si>
  <si>
    <t xml:space="preserve">A-09</t>
  </si>
  <si>
    <t xml:space="preserve">Accounting and payroll software</t>
  </si>
  <si>
    <t xml:space="preserve">Company finances and payroll runs</t>
  </si>
  <si>
    <t xml:space="preserve">Bernard Hughes, Finance Manager</t>
  </si>
  <si>
    <t xml:space="preserve">Financial records; employee pay and bank details</t>
  </si>
  <si>
    <t xml:space="preserve">A-10</t>
  </si>
  <si>
    <t xml:space="preserve">Website with patient payment page</t>
  </si>
  <si>
    <t xml:space="preserve">Web application</t>
  </si>
  <si>
    <t xml:space="preserve">Public site where patients pay balances by card</t>
  </si>
  <si>
    <t xml:space="preserve">Danielle Williams-Carter, COO</t>
  </si>
  <si>
    <t xml:space="preserve">Card data entered on a processor-hosted form</t>
  </si>
  <si>
    <t xml:space="preserve">Web host and payment processor</t>
  </si>
  <si>
    <t xml:space="preserve">A-11</t>
  </si>
  <si>
    <t xml:space="preserve">Office network (firewall, switches, Wi-Fi)</t>
  </si>
  <si>
    <t xml:space="preserve">Network</t>
  </si>
  <si>
    <t xml:space="preserve">Connects office devices and the internet</t>
  </si>
  <si>
    <t xml:space="preserve">None stored</t>
  </si>
  <si>
    <t xml:space="preserve">Internal</t>
  </si>
  <si>
    <t xml:space="preserve">Newark office</t>
  </si>
  <si>
    <t xml:space="preserve">A-12</t>
  </si>
  <si>
    <t xml:space="preserve">Client contracts and pricing</t>
  </si>
  <si>
    <t xml:space="preserve">Data</t>
  </si>
  <si>
    <t xml:space="preserve">Agreements with each client practice</t>
  </si>
  <si>
    <t xml:space="preserve">Lorraine Bell, Client Relations Manager</t>
  </si>
  <si>
    <t xml:space="preserve">Contract terms and pricing</t>
  </si>
  <si>
    <t xml:space="preserve">File server and OneDrive</t>
  </si>
  <si>
    <t xml:space="preserve">A-13</t>
  </si>
  <si>
    <t xml:space="preserve">Employee and payroll records</t>
  </si>
  <si>
    <t xml:space="preserve">HR files, pay, and tax information</t>
  </si>
  <si>
    <t xml:space="preserve">Yolanda Greene, HR Manager</t>
  </si>
  <si>
    <t xml:space="preserve">Employee personal and payroll data</t>
  </si>
  <si>
    <t xml:space="preserve">HR files and accounting software</t>
  </si>
  <si>
    <t xml:space="preserve">A-14</t>
  </si>
  <si>
    <t xml:space="preserve">Printed claim documents and patient statements</t>
  </si>
  <si>
    <t xml:space="preserve">Physical records</t>
  </si>
  <si>
    <t xml:space="preserve">Paper copies kept at desks and in filing cabinets</t>
  </si>
  <si>
    <t xml:space="preserve">A-15</t>
  </si>
  <si>
    <t xml:space="preserve">Outside IT help desk</t>
  </si>
  <si>
    <t xml:space="preserve">Third party</t>
  </si>
  <si>
    <t xml:space="preserve">Vendor that gives after-hours support with remote access to staff laptops</t>
  </si>
  <si>
    <t xml:space="preserve">Can reach any data on staff devices</t>
  </si>
  <si>
    <t xml:space="preserve">Vendor</t>
  </si>
  <si>
    <t xml:space="preserve">A-16</t>
  </si>
  <si>
    <t xml:space="preserve">Payment processor</t>
  </si>
  <si>
    <t xml:space="preserve">Handles patient card payments</t>
  </si>
  <si>
    <t xml:space="preserve">Card payment data</t>
  </si>
  <si>
    <t xml:space="preserve">A-17</t>
  </si>
  <si>
    <t xml:space="preserve">IT administrator accounts</t>
  </si>
  <si>
    <t xml:space="preserve">Identity</t>
  </si>
  <si>
    <t xml:space="preserve">Accounts with full control of Microsoft 365, servers, and backups</t>
  </si>
  <si>
    <t xml:space="preserve">None stored; control access to everything</t>
  </si>
  <si>
    <t xml:space="preserve">Microsoft 365 and servers</t>
  </si>
  <si>
    <t xml:space="preserve">A-18</t>
  </si>
  <si>
    <t xml:space="preserve">Staff user accounts</t>
  </si>
  <si>
    <t xml:space="preserve">The 50 employee logins to company systems</t>
  </si>
  <si>
    <t xml:space="preserve">None stored; give access to PHI and other data</t>
  </si>
  <si>
    <t xml:space="preserve">Microsoft 365 and vendor systems</t>
  </si>
  <si>
    <t xml:space="preserve">Starting Conditions (Invented)</t>
  </si>
  <si>
    <t xml:space="preserve">These conditions were invented for this fictional firm so the risk register has realistic weaknesses to work from. Use the same facts when you map controls in Phase 4. If you change one, update the related risks.</t>
  </si>
  <si>
    <t xml:space="preserve">ID</t>
  </si>
  <si>
    <t xml:space="preserve">Condition</t>
  </si>
  <si>
    <t xml:space="preserve">Assets affected</t>
  </si>
  <si>
    <t xml:space="preserve">Risks that use it</t>
  </si>
  <si>
    <t xml:space="preserve">S-01</t>
  </si>
  <si>
    <t xml:space="preserve">MFA is required on the two IT administrator accounts only. Staff Microsoft 365 sign-ins use a password only.</t>
  </si>
  <si>
    <t xml:space="preserve">A-17, A-18</t>
  </si>
  <si>
    <t xml:space="preserve">R-01</t>
  </si>
  <si>
    <t xml:space="preserve">S-02</t>
  </si>
  <si>
    <t xml:space="preserve">The VPN requires a password only. The office firewall runs on default settings.</t>
  </si>
  <si>
    <t xml:space="preserve">A-06, A-11</t>
  </si>
  <si>
    <t xml:space="preserve">R-05</t>
  </si>
  <si>
    <t xml:space="preserve">S-03</t>
  </si>
  <si>
    <t xml:space="preserve">Laptops run built-in antivirus with no central management or monitoring. Staff install updates when prompted.</t>
  </si>
  <si>
    <t xml:space="preserve">R-02</t>
  </si>
  <si>
    <t xml:space="preserve">S-04</t>
  </si>
  <si>
    <t xml:space="preserve">About 12 of 50 devices have full-disk encryption (those bought since 2024).</t>
  </si>
  <si>
    <t xml:space="preserve">R-04</t>
  </si>
  <si>
    <t xml:space="preserve">S-05</t>
  </si>
  <si>
    <t xml:space="preserve">Cloud backups run nightly. Restores have never been tested. The backup console uses one shared password.</t>
  </si>
  <si>
    <t xml:space="preserve">R-03</t>
  </si>
  <si>
    <t xml:space="preserve">S-06</t>
  </si>
  <si>
    <t xml:space="preserve">There is no written incident response plan. Staff tell the COO informally.</t>
  </si>
  <si>
    <t xml:space="preserve">R-10</t>
  </si>
  <si>
    <t xml:space="preserve">S-07</t>
  </si>
  <si>
    <t xml:space="preserve">Security training is given once at hire, in English only. There has been no refresher since 2023.</t>
  </si>
  <si>
    <t xml:space="preserve">R-01, R-14</t>
  </si>
  <si>
    <t xml:space="preserve">S-08</t>
  </si>
  <si>
    <t xml:space="preserve">The Claims team shares one clearinghouse portal login.</t>
  </si>
  <si>
    <t xml:space="preserve">R-06</t>
  </si>
  <si>
    <t xml:space="preserve">S-09</t>
  </si>
  <si>
    <t xml:space="preserve">The file server is patched irregularly. The last full patching was about 5 months ago.</t>
  </si>
  <si>
    <t xml:space="preserve">S-10</t>
  </si>
  <si>
    <t xml:space="preserve">The outside IT help desk has one permanent remote-access account on all laptops. The contract has no security terms.</t>
  </si>
  <si>
    <t xml:space="preserve">R-08</t>
  </si>
  <si>
    <t xml:space="preserve">S-11</t>
  </si>
  <si>
    <t xml:space="preserve">Leavers are removed when a manager emails IT. There is no checklist and no access review.</t>
  </si>
  <si>
    <t xml:space="preserve">R-07</t>
  </si>
  <si>
    <t xml:space="preserve">S-12</t>
  </si>
  <si>
    <t xml:space="preserve">No one reviews Microsoft 365 sign-in logs or alerts.</t>
  </si>
  <si>
    <t xml:space="preserve">R-09</t>
  </si>
  <si>
    <t xml:space="preserve">S-13</t>
  </si>
  <si>
    <t xml:space="preserve">Payroll bank detail changes are accepted by email, with the manager's email confirmation.</t>
  </si>
  <si>
    <t xml:space="preserve">R-12</t>
  </si>
  <si>
    <t xml:space="preserve">S-14</t>
  </si>
  <si>
    <t xml:space="preserve">Printed claim documents sit in unlocked cabinets. The shredding bin is emptied monthly.</t>
  </si>
  <si>
    <t xml:space="preserve">R-13</t>
  </si>
  <si>
    <t xml:space="preserve">S-15</t>
  </si>
  <si>
    <t xml:space="preserve">The payment page uses a processor-hosted card form, but the processor's security attestation is not on file.</t>
  </si>
  <si>
    <t xml:space="preserve">R-11</t>
  </si>
  <si>
    <t xml:space="preserve">S-16</t>
  </si>
  <si>
    <t xml:space="preserve">All staff can read the contracts folder on the file server.</t>
  </si>
  <si>
    <t xml:space="preserve">R-15</t>
  </si>
  <si>
    <t xml:space="preserve">S-17</t>
  </si>
  <si>
    <t xml:space="preserve">The firm has no written information security policies.</t>
  </si>
  <si>
    <t xml:space="preserve">All</t>
  </si>
  <si>
    <t xml:space="preserve">R-07, R-10</t>
  </si>
  <si>
    <t xml:space="preserve">S-18</t>
  </si>
  <si>
    <t xml:space="preserve">There is no routine vulnerability scanning of laptops, the file server, or the network.</t>
  </si>
  <si>
    <t xml:space="preserve">A-04, A-05, A-11</t>
  </si>
  <si>
    <t xml:space="preserve">Likelihood scale (how often could this happen?)</t>
  </si>
  <si>
    <t xml:space="preserve">Score</t>
  </si>
  <si>
    <t xml:space="preserve">Label</t>
  </si>
  <si>
    <t xml:space="preserve">Meaning</t>
  </si>
  <si>
    <t xml:space="preserve">Expected response</t>
  </si>
  <si>
    <t xml:space="preserve">Rare</t>
  </si>
  <si>
    <t xml:space="preserve">Less than once in 10 years</t>
  </si>
  <si>
    <t xml:space="preserve">Unlikely</t>
  </si>
  <si>
    <t xml:space="preserve">About once every 5 to 10 years</t>
  </si>
  <si>
    <t xml:space="preserve">Possible</t>
  </si>
  <si>
    <t xml:space="preserve">About once every 1 to 5 years</t>
  </si>
  <si>
    <t xml:space="preserve">Likely</t>
  </si>
  <si>
    <t xml:space="preserve">About once a year</t>
  </si>
  <si>
    <t xml:space="preserve">Almost certain</t>
  </si>
  <si>
    <t xml:space="preserve">Several times a year, or already happening</t>
  </si>
  <si>
    <t xml:space="preserve">Impact scale (how bad would it be?)</t>
  </si>
  <si>
    <t xml:space="preserve">Minimal</t>
  </si>
  <si>
    <t xml:space="preserve">Minor inconvenience. No data exposed. Under $1,000.</t>
  </si>
  <si>
    <t xml:space="preserve">Minor</t>
  </si>
  <si>
    <t xml:space="preserve">Small delay of a few hours. Under $5,000.</t>
  </si>
  <si>
    <t xml:space="preserve">Moderate</t>
  </si>
  <si>
    <t xml:space="preserve">A day or more of lost work, or limited data exposed. $5,000 to $50,000.</t>
  </si>
  <si>
    <t xml:space="preserve">Major</t>
  </si>
  <si>
    <t xml:space="preserve">Many patients' PHI exposed or billing down for days. Breach notification required. $50,000 to $250,000.</t>
  </si>
  <si>
    <t xml:space="preserve">Severe</t>
  </si>
  <si>
    <t xml:space="preserve">Prolonged shutdown, a large breach, or loss of clients. Over $250,000.</t>
  </si>
  <si>
    <t xml:space="preserve">Rating bands (Score = Likelihood x Impact, maximum 25)</t>
  </si>
  <si>
    <t xml:space="preserve">Rating</t>
  </si>
  <si>
    <t xml:space="preserve">Minimum score</t>
  </si>
  <si>
    <t xml:space="preserve">Low</t>
  </si>
  <si>
    <t xml:space="preserve">Acceptable with monitoring</t>
  </si>
  <si>
    <t xml:space="preserve">Review at the annual assessment</t>
  </si>
  <si>
    <t xml:space="preserve">Medium</t>
  </si>
  <si>
    <t xml:space="preserve">Needs a planned fix</t>
  </si>
  <si>
    <t xml:space="preserve">Fix within 6 months</t>
  </si>
  <si>
    <t xml:space="preserve">High</t>
  </si>
  <si>
    <t xml:space="preserve">Needs prompt attention</t>
  </si>
  <si>
    <t xml:space="preserve">Fix within 90 days</t>
  </si>
  <si>
    <t xml:space="preserve">Critical</t>
  </si>
  <si>
    <t xml:space="preserve">Unacceptable</t>
  </si>
  <si>
    <t xml:space="preserve">Fix within 30 days</t>
  </si>
  <si>
    <t xml:space="preserve">The minimum scores in blue are the cut-offs the Risk Register uses. Change them here and every rating updates.</t>
  </si>
  <si>
    <t xml:space="preserve">Treatment options</t>
  </si>
  <si>
    <t xml:space="preserve">Option</t>
  </si>
  <si>
    <t xml:space="preserve">Mitigate</t>
  </si>
  <si>
    <t xml:space="preserve">Reduce the risk with a control or a change.</t>
  </si>
  <si>
    <t xml:space="preserve">Accept</t>
  </si>
  <si>
    <t xml:space="preserve">Knowingly live with the risk. Record why, and revisit at the next review.</t>
  </si>
  <si>
    <t xml:space="preserve">Transfer</t>
  </si>
  <si>
    <t xml:space="preserve">Shift part of the cost to someone else, for example through insurance or a contract.</t>
  </si>
  <si>
    <t xml:space="preserve">Avoid</t>
  </si>
  <si>
    <t xml:space="preserve">Stop the activity that creates the risk.</t>
  </si>
  <si>
    <t xml:space="preserve">Asset criticality (how much does the business depend on it?)</t>
  </si>
  <si>
    <t xml:space="preserve">Very low</t>
  </si>
  <si>
    <t xml:space="preserve">Barely noticed if lost</t>
  </si>
  <si>
    <t xml:space="preserve">Work continues with a workaround</t>
  </si>
  <si>
    <t xml:space="preserve">Some teams are slowed for a day or more</t>
  </si>
  <si>
    <t xml:space="preserve">Many staff cannot work, or sensitive data is at stake</t>
  </si>
  <si>
    <t xml:space="preserve">Essential</t>
  </si>
  <si>
    <t xml:space="preserve">Billing stops, or data is lost permanently</t>
  </si>
  <si>
    <t xml:space="preserve">Data classification</t>
  </si>
  <si>
    <t xml:space="preserve">Level</t>
  </si>
  <si>
    <t xml:space="preserve">PHI, card data, payroll and employee records. A breach triggers legal or contractual notice.</t>
  </si>
  <si>
    <t xml:space="preserve">Business information that should stay inside the company, such as contracts and pricing.</t>
  </si>
  <si>
    <t xml:space="preserve">Everything else used for running the office.</t>
  </si>
  <si>
    <t xml:space="preserve">Assumptions: the dollar ranges, time frames, and response times above are invented for this fictional firm. The scale structure (5 x 5, score = likelihood x impact) is a common risk-matrix convention.</t>
  </si>
  <si>
    <t xml:space="preserve">Risk ID</t>
  </si>
  <si>
    <t xml:space="preserve">Risk statement</t>
  </si>
  <si>
    <t xml:space="preserve">Threat</t>
  </si>
  <si>
    <t xml:space="preserve">Vulnerability</t>
  </si>
  <si>
    <t xml:space="preserve">Likelihood (1-5)</t>
  </si>
  <si>
    <t xml:space="preserve">Impact (1-5)</t>
  </si>
  <si>
    <t xml:space="preserve">Existing controls</t>
  </si>
  <si>
    <t xml:space="preserve">Treatment</t>
  </si>
  <si>
    <t xml:space="preserve">Risk owner</t>
  </si>
  <si>
    <t xml:space="preserve">Notes</t>
  </si>
  <si>
    <t xml:space="preserve">A phishing email could capture a staff password, letting an attacker read PHI in that person's mailbox and files.</t>
  </si>
  <si>
    <t xml:space="preserve">Phishing</t>
  </si>
  <si>
    <t xml:space="preserve">Staff sign in with a password only (no MFA), and there has been no security refresher training since 2023</t>
  </si>
  <si>
    <t xml:space="preserve">Microsoft 365 spam filtering</t>
  </si>
  <si>
    <t xml:space="preserve">Most likely way an attacker gets in at a billing firm.</t>
  </si>
  <si>
    <t xml:space="preserve">Ransomware could encrypt the file server and stop billing work for days.</t>
  </si>
  <si>
    <t xml:space="preserve">Ransomware</t>
  </si>
  <si>
    <t xml:space="preserve">The server is patched irregularly (last full patching about 5 months ago) and laptops have no central management or monitoring</t>
  </si>
  <si>
    <t xml:space="preserve">Built-in antivirus on laptops; nightly cloud backup</t>
  </si>
  <si>
    <t xml:space="preserve">Cyber insurance could also transfer part of the cost.</t>
  </si>
  <si>
    <t xml:space="preserve">A failed or corrupted backup could leave the firm unable to recover after an incident.</t>
  </si>
  <si>
    <t xml:space="preserve">Ransomware, hardware failure, or accidental deletion</t>
  </si>
  <si>
    <t xml:space="preserve">Restores have never been tested, and the backup console uses one shared password</t>
  </si>
  <si>
    <t xml:space="preserve">Nightly backup job runs</t>
  </si>
  <si>
    <t xml:space="preserve">A lost or stolen laptop could expose PHI.</t>
  </si>
  <si>
    <t xml:space="preserve">Theft or loss, especially for the 24 hybrid and remote staff</t>
  </si>
  <si>
    <t xml:space="preserve">Only about 12 of 50 devices have full-disk encryption</t>
  </si>
  <si>
    <t xml:space="preserve">Device login passwords</t>
  </si>
  <si>
    <t xml:space="preserve">Attackers could guess or reuse passwords to log in to the VPN and reach office systems.</t>
  </si>
  <si>
    <t xml:space="preserve">Password guessing and credential stuffing</t>
  </si>
  <si>
    <t xml:space="preserve">The VPN requires a password only</t>
  </si>
  <si>
    <t xml:space="preserve">Default firewall settings</t>
  </si>
  <si>
    <t xml:space="preserve">A shared clearinghouse login means the firm cannot tell who viewed or changed a claim, and one leaked password exposes the whole portal.</t>
  </si>
  <si>
    <t xml:space="preserve">Insider misuse or a compromised credential</t>
  </si>
  <si>
    <t xml:space="preserve">The Claims team shares one login</t>
  </si>
  <si>
    <t xml:space="preserve">The portal's own session timeout</t>
  </si>
  <si>
    <t xml:space="preserve">A former employee's account could stay active after they leave and still reach PHI.</t>
  </si>
  <si>
    <t xml:space="preserve">Misuse by a former employee</t>
  </si>
  <si>
    <t xml:space="preserve">No offboarding checklist and no routine access review; removal depends on a manager's email</t>
  </si>
  <si>
    <t xml:space="preserve">Manager emails IT when someone leaves</t>
  </si>
  <si>
    <t xml:space="preserve">The IAM lab's leaver process is the model for the fix.</t>
  </si>
  <si>
    <t xml:space="preserve">If the outside help desk's remote-access account were compromised, an attacker could reach every laptop.</t>
  </si>
  <si>
    <t xml:space="preserve">Supply chain compromise</t>
  </si>
  <si>
    <t xml:space="preserve">One permanent vendor account has remote access, and the contract has no security terms</t>
  </si>
  <si>
    <t xml:space="preserve">Contract with a confidentiality clause</t>
  </si>
  <si>
    <t xml:space="preserve">Pimchanok Wongsawat, Compliance and Privacy Officer</t>
  </si>
  <si>
    <t xml:space="preserve">Suspicious Microsoft 365 sign-ins could go unnoticed for weeks.</t>
  </si>
  <si>
    <t xml:space="preserve">Account takeover</t>
  </si>
  <si>
    <t xml:space="preserve">No one reviews sign-in logs or alerts</t>
  </si>
  <si>
    <t xml:space="preserve">Default Microsoft 365 alerts</t>
  </si>
  <si>
    <t xml:space="preserve">Without an incident response plan, staff may not know who to call, and the firm may miss breach notification deadlines.</t>
  </si>
  <si>
    <t xml:space="preserve">Any security incident</t>
  </si>
  <si>
    <t xml:space="preserve">No written incident response plan or contact list</t>
  </si>
  <si>
    <t xml:space="preserve">Staff tell the COO informally</t>
  </si>
  <si>
    <t xml:space="preserve">A compromised payment page could skim patient card numbers.</t>
  </si>
  <si>
    <t xml:space="preserve">Web skimming</t>
  </si>
  <si>
    <t xml:space="preserve">The processor's security attestation is not on file, and the payment page is not reviewed</t>
  </si>
  <si>
    <t xml:space="preserve">Card entry form is hosted by the processor</t>
  </si>
  <si>
    <t xml:space="preserve">A scam email posing as an employee could change their direct-deposit details and divert a paycheck.</t>
  </si>
  <si>
    <t xml:space="preserve">Business email compromise</t>
  </si>
  <si>
    <t xml:space="preserve">Bank detail changes are accepted by email</t>
  </si>
  <si>
    <t xml:space="preserve">Payroll asks the employee's manager to confirm by email</t>
  </si>
  <si>
    <t xml:space="preserve">Printed claim documents could be read or taken from an unlocked cabinet or from the recycling.</t>
  </si>
  <si>
    <t xml:space="preserve">Theft or improper disposal</t>
  </si>
  <si>
    <t xml:space="preserve">Cabinets are unlocked, and the shredding bin is emptied monthly</t>
  </si>
  <si>
    <t xml:space="preserve">Office door is locked after hours</t>
  </si>
  <si>
    <t xml:space="preserve">R-14</t>
  </si>
  <si>
    <t xml:space="preserve">Some staff could miss or misread security instructions because training and policies exist only in English.</t>
  </si>
  <si>
    <t xml:space="preserve">Human error</t>
  </si>
  <si>
    <t xml:space="preserve">Training and policies are not offered in Thai</t>
  </si>
  <si>
    <t xml:space="preserve">Training given once at hire</t>
  </si>
  <si>
    <t xml:space="preserve">Staff support clients in English and Thai.</t>
  </si>
  <si>
    <t xml:space="preserve">Client contracts could be read by staff who do not need them.</t>
  </si>
  <si>
    <t xml:space="preserve">Unauthorized internal access</t>
  </si>
  <si>
    <t xml:space="preserve">All staff can read the contracts folder on the file server</t>
  </si>
  <si>
    <t xml:space="preserve">The folder is not shared outside the company</t>
  </si>
  <si>
    <t xml:space="preserve">Accepted for now because contracts are less sensitive than PHI. Revisit at the annual review.</t>
  </si>
  <si>
    <t xml:space="preserve">Risk Summary</t>
  </si>
  <si>
    <t xml:space="preserve">Risks by rating</t>
  </si>
  <si>
    <t xml:space="preserve">Band minimums (from Scoring Guide)</t>
  </si>
  <si>
    <t xml:space="preserve">Count</t>
  </si>
  <si>
    <t xml:space="preserve">Share</t>
  </si>
  <si>
    <t xml:space="preserve">Total</t>
  </si>
  <si>
    <t xml:space="preserve">Key numbers</t>
  </si>
  <si>
    <t xml:space="preserve">Risks in the register</t>
  </si>
  <si>
    <t xml:space="preserve">Average risk score</t>
  </si>
  <si>
    <t xml:space="preserve">Highest risk score</t>
  </si>
  <si>
    <t xml:space="preserve">Assets in the inventory</t>
  </si>
  <si>
    <t xml:space="preserve">Restricted assets</t>
  </si>
  <si>
    <t xml:space="preserve">Assets with no linked risk yet</t>
  </si>
  <si>
    <t xml:space="preserve">Risks by treatment</t>
  </si>
  <si>
    <t xml:space="preserve">Heat map: number of risks by likelihood and impact</t>
  </si>
  <si>
    <t xml:space="preserve">Likelihood</t>
  </si>
  <si>
    <t xml:space="preserve">Impact</t>
  </si>
  <si>
    <t xml:space="preserve">Cell colors follow the rating bands on the Scoring Guide tab. A dash means no risks in that cell.</t>
  </si>
  <si>
    <t xml:space="preserve">Control Map (NIST CSF 2.0)</t>
  </si>
  <si>
    <t xml:space="preserve">Status comes from the Assumptions tab (S-numbers). Subcategory IDs are from NIST CSF 2.0; the plain-language column is paraphrased. Partial and Missing rows are the gaps carried into Phase 6.</t>
  </si>
  <si>
    <t xml:space="preserve">Control status by function</t>
  </si>
  <si>
    <t xml:space="preserve">Function</t>
  </si>
  <si>
    <t xml:space="preserve">Category</t>
  </si>
  <si>
    <t xml:space="preserve">Subcategory ID</t>
  </si>
  <si>
    <t xml:space="preserve">What it means in plain words</t>
  </si>
  <si>
    <t xml:space="preserve">Evidence or reason</t>
  </si>
  <si>
    <t xml:space="preserve">Related risk IDs</t>
  </si>
  <si>
    <t xml:space="preserve">Implemented</t>
  </si>
  <si>
    <t xml:space="preserve">Partial</t>
  </si>
  <si>
    <t xml:space="preserve">Missing</t>
  </si>
  <si>
    <t xml:space="preserve">Govern</t>
  </si>
  <si>
    <t xml:space="preserve">GV.RR</t>
  </si>
  <si>
    <t xml:space="preserve">GV.RR-02</t>
  </si>
  <si>
    <t xml:space="preserve">Someone is named responsible for cybersecurity risk, and everyone knows who</t>
  </si>
  <si>
    <t xml:space="preserve">The COO is the informal contact for incidents, but no security roles are written down (S-06)</t>
  </si>
  <si>
    <t xml:space="preserve">GV.PO</t>
  </si>
  <si>
    <t xml:space="preserve">GV.PO-01</t>
  </si>
  <si>
    <t xml:space="preserve">The company has a written policy for managing cybersecurity risk</t>
  </si>
  <si>
    <t xml:space="preserve">No written security policies exist (S-17). Phase 5 drafts access control, incident response, and acceptable use policies</t>
  </si>
  <si>
    <t xml:space="preserve">Identify</t>
  </si>
  <si>
    <t xml:space="preserve">GV.SC</t>
  </si>
  <si>
    <t xml:space="preserve">GV.SC-05</t>
  </si>
  <si>
    <t xml:space="preserve">Vendors must meet security requirements, and those requirements are written into contracts</t>
  </si>
  <si>
    <t xml:space="preserve">The IT help desk contract has no security terms, and the payment processor's security attestation is not on file (S-10, S-15)</t>
  </si>
  <si>
    <t xml:space="preserve">R-08, R-11</t>
  </si>
  <si>
    <t xml:space="preserve">Protect</t>
  </si>
  <si>
    <t xml:space="preserve">ID.AM</t>
  </si>
  <si>
    <t xml:space="preserve">ID.AM-02</t>
  </si>
  <si>
    <t xml:space="preserve">The company keeps a list of its software, services, and systems</t>
  </si>
  <si>
    <t xml:space="preserve">The Assets tab lists 10 systems and 8 supporting assets. It was created in this assessment and needs an owner to keep it current</t>
  </si>
  <si>
    <t xml:space="preserve">Detect</t>
  </si>
  <si>
    <t xml:space="preserve">ID.AM-05</t>
  </si>
  <si>
    <t xml:space="preserve">Assets are ranked by how sensitive and how important they are</t>
  </si>
  <si>
    <t xml:space="preserve">Every asset has a classification and a 1 to 5 criticality score on the Assets tab</t>
  </si>
  <si>
    <t xml:space="preserve">Respond</t>
  </si>
  <si>
    <t xml:space="preserve">ID.RA</t>
  </si>
  <si>
    <t xml:space="preserve">ID.RA-01</t>
  </si>
  <si>
    <t xml:space="preserve">Weaknesses in systems are found and written down</t>
  </si>
  <si>
    <t xml:space="preserve">Known weaknesses are recorded in this assessment, but there is no routine vulnerability scanning (S-18)</t>
  </si>
  <si>
    <t xml:space="preserve">R-02, R-04</t>
  </si>
  <si>
    <t xml:space="preserve">Recover</t>
  </si>
  <si>
    <t xml:space="preserve">ID.RA-05</t>
  </si>
  <si>
    <t xml:space="preserve">Threats, weaknesses, likelihood, and impact are used to rank risks</t>
  </si>
  <si>
    <t xml:space="preserve">The Risk Register scores 15 risks by likelihood times impact</t>
  </si>
  <si>
    <t xml:space="preserve">PR.AA</t>
  </si>
  <si>
    <t xml:space="preserve">PR.AA-01</t>
  </si>
  <si>
    <t xml:space="preserve">Each person, service, and device has its own managed identity and credentials</t>
  </si>
  <si>
    <t xml:space="preserve">Staff have individual Microsoft 365 accounts, but the Claims team shares one portal login and the backup console shares one password (S-05, S-08)</t>
  </si>
  <si>
    <t xml:space="preserve">R-03, R-06</t>
  </si>
  <si>
    <t xml:space="preserve">PR.AA-03</t>
  </si>
  <si>
    <t xml:space="preserve">Users, services, and hardware prove who they are before getting access</t>
  </si>
  <si>
    <t xml:space="preserve">MFA is on the 2 IT admin accounts only. Staff and VPN logins use a password only (S-01, S-02)</t>
  </si>
  <si>
    <t xml:space="preserve">R-01, R-05</t>
  </si>
  <si>
    <t xml:space="preserve">Gaps to carry into Phase 6 (Partial + Missing)</t>
  </si>
  <si>
    <t xml:space="preserve">PR.AA-05</t>
  </si>
  <si>
    <t xml:space="preserve">Access is defined in a policy, limited to what each job needs, and reviewed</t>
  </si>
  <si>
    <t xml:space="preserve">No access reviews; leavers are removed when a manager emails IT; all staff can read the contracts folder (S-11, S-16)</t>
  </si>
  <si>
    <t xml:space="preserve">R-07, R-15</t>
  </si>
  <si>
    <t xml:space="preserve">PR.AA-06</t>
  </si>
  <si>
    <t xml:space="preserve">Physical access to offices, devices, and paper records is controlled</t>
  </si>
  <si>
    <t xml:space="preserve">The office door is locked after hours, but printed claim documents sit in unlocked cabinets (S-14)</t>
  </si>
  <si>
    <t xml:space="preserve">PR.AT</t>
  </si>
  <si>
    <t xml:space="preserve">PR.AT-01</t>
  </si>
  <si>
    <t xml:space="preserve">Staff get security awareness and training that fits their jobs</t>
  </si>
  <si>
    <t xml:space="preserve">Training is given once at hire, in English only, with no refresher since 2023 (S-07)</t>
  </si>
  <si>
    <t xml:space="preserve">PR.AT-02</t>
  </si>
  <si>
    <t xml:space="preserve">People in specialized roles get training that fits their risks</t>
  </si>
  <si>
    <t xml:space="preserve">Payroll and finance staff have not been trained to spot fake bank-detail change requests, which are accepted by email (S-13)</t>
  </si>
  <si>
    <t xml:space="preserve">PR.DS</t>
  </si>
  <si>
    <t xml:space="preserve">PR.DS-01</t>
  </si>
  <si>
    <t xml:space="preserve">Stored data is protected, for example by encryption</t>
  </si>
  <si>
    <t xml:space="preserve">About 12 of 50 devices have full-disk encryption (S-04)</t>
  </si>
  <si>
    <t xml:space="preserve">PR.DS-11</t>
  </si>
  <si>
    <t xml:space="preserve">Backups are created, protected, and tested</t>
  </si>
  <si>
    <t xml:space="preserve">Nightly backups run, but restores are untested and the console uses a shared password (S-05)</t>
  </si>
  <si>
    <t xml:space="preserve">R-02, R-03</t>
  </si>
  <si>
    <t xml:space="preserve">PR.PS</t>
  </si>
  <si>
    <t xml:space="preserve">PR.PS-01</t>
  </si>
  <si>
    <t xml:space="preserve">Systems are set up in a standard, managed way</t>
  </si>
  <si>
    <t xml:space="preserve">Laptops have no standard configuration or central management (S-03)</t>
  </si>
  <si>
    <t xml:space="preserve">PR.PS-02</t>
  </si>
  <si>
    <t xml:space="preserve">Software is kept up to date and old software is retired</t>
  </si>
  <si>
    <t xml:space="preserve">The file server is patched irregularly, and staff install laptop updates when prompted (S-03, S-09)</t>
  </si>
  <si>
    <t xml:space="preserve">PR.IR</t>
  </si>
  <si>
    <t xml:space="preserve">PR.IR-01</t>
  </si>
  <si>
    <t xml:space="preserve">Networks are protected from unauthorized access</t>
  </si>
  <si>
    <t xml:space="preserve">The firewall runs on default settings, and the VPN accepts a password alone (S-02)</t>
  </si>
  <si>
    <t xml:space="preserve">DE.CM</t>
  </si>
  <si>
    <t xml:space="preserve">DE.CM-03</t>
  </si>
  <si>
    <t xml:space="preserve">Staff activity and technology use are watched for signs of trouble</t>
  </si>
  <si>
    <t xml:space="preserve">No one reviews Microsoft 365 sign-in logs or alerts (S-12)</t>
  </si>
  <si>
    <t xml:space="preserve">DE.AE</t>
  </si>
  <si>
    <t xml:space="preserve">DE.AE-02</t>
  </si>
  <si>
    <t xml:space="preserve">Suspicious events are analyzed to understand what is happening</t>
  </si>
  <si>
    <t xml:space="preserve">There is no process for analyzing alerts when they appear (S-12)</t>
  </si>
  <si>
    <t xml:space="preserve">RS.MA</t>
  </si>
  <si>
    <t xml:space="preserve">RS.MA-01</t>
  </si>
  <si>
    <t xml:space="preserve">The incident response plan is carried out once an incident is declared</t>
  </si>
  <si>
    <t xml:space="preserve">There is no written incident response plan (S-06)</t>
  </si>
  <si>
    <t xml:space="preserve">RS.CO</t>
  </si>
  <si>
    <t xml:space="preserve">RS.CO-02</t>
  </si>
  <si>
    <t xml:space="preserve">The right people inside and outside the company are told about incidents</t>
  </si>
  <si>
    <t xml:space="preserve">No contact list or notification steps, so breach notice deadlines could be missed (S-06)</t>
  </si>
  <si>
    <t xml:space="preserve">RC.RP</t>
  </si>
  <si>
    <t xml:space="preserve">RC.RP-01</t>
  </si>
  <si>
    <t xml:space="preserve">Recovery steps are carried out once recovery starts</t>
  </si>
  <si>
    <t xml:space="preserve">No written steps for restoring systems after an incident (S-05, S-06)</t>
  </si>
  <si>
    <t xml:space="preserve">RC.RP-03</t>
  </si>
  <si>
    <t xml:space="preserve">Backups are checked for integrity before they are used to restore</t>
  </si>
  <si>
    <t xml:space="preserve">Restores have never been tested, and no integrity checks are done (S-05)</t>
  </si>
  <si>
    <t xml:space="preserve">Remediation Plan: fill in during Phase 6</t>
  </si>
  <si>
    <t xml:space="preserve">One row per gap (a control marked Partial or Missing). Rank by the highest linked risk score. Delete the yellow example row when you add your own.</t>
  </si>
  <si>
    <t xml:space="preserve">Gap ID</t>
  </si>
  <si>
    <t xml:space="preserve">Action</t>
  </si>
  <si>
    <t xml:space="preserve">Linked risk IDs</t>
  </si>
  <si>
    <t xml:space="preserve">Linked control</t>
  </si>
  <si>
    <t xml:space="preserve">Priority</t>
  </si>
  <si>
    <t xml:space="preserve">Effort</t>
  </si>
  <si>
    <t xml:space="preserve">Target date</t>
  </si>
  <si>
    <t xml:space="preserve">Success measure</t>
  </si>
  <si>
    <t xml:space="preserve">EXAMPLE: GAP-01</t>
  </si>
  <si>
    <t xml:space="preserve">Turn on MFA for all staff Microsoft 365 accounts</t>
  </si>
  <si>
    <t xml:space="preserve">P1</t>
  </si>
  <si>
    <t xml:space="preserve">Not started</t>
  </si>
  <si>
    <t xml:space="preserve">100% of staff accounts show MFA registered in the sign-in report</t>
  </si>
  <si>
    <t xml:space="preserve">Mock Audit Evidence Tracker: fill in during Phase 7</t>
  </si>
  <si>
    <t xml:space="preserve">For each control, list the proof an auditor would ask for. Delete the yellow example row when you add your own.</t>
  </si>
  <si>
    <t xml:space="preserve">Control (CSF ID)</t>
  </si>
  <si>
    <t xml:space="preserve">Control in plain words</t>
  </si>
  <si>
    <t xml:space="preserve">Evidence an auditor would ask for</t>
  </si>
  <si>
    <t xml:space="preserve">Where it lives</t>
  </si>
  <si>
    <t xml:space="preserve">How often</t>
  </si>
  <si>
    <t xml:space="preserve">EXAMPLE: PR.AA-05</t>
  </si>
  <si>
    <t xml:space="preserve">Access is reviewed and kept to what each job needs</t>
  </si>
  <si>
    <t xml:space="preserve">Quarterly user access review, signed by each manager</t>
  </si>
  <si>
    <t xml:space="preserve">Shared drive: Compliance / Access Reviews</t>
  </si>
  <si>
    <t xml:space="preserve">Quarterly</t>
  </si>
  <si>
    <t xml:space="preserve">No review has been done yet</t>
  </si>
</sst>
</file>

<file path=xl/styles.xml><?xml version="1.0" encoding="utf-8"?>
<styleSheet xmlns="http://schemas.openxmlformats.org/spreadsheetml/2006/main">
  <numFmts count="7">
    <numFmt numFmtId="164" formatCode="General"/>
    <numFmt numFmtId="165" formatCode="General"/>
    <numFmt numFmtId="166" formatCode="0.0%"/>
    <numFmt numFmtId="167" formatCode="0"/>
    <numFmt numFmtId="168" formatCode="0.0"/>
    <numFmt numFmtId="169" formatCode="0;\-0;\-"/>
    <numFmt numFmtId="170" formatCode="yyyy\-mm\-dd"/>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1F3864"/>
      <name val="Arial"/>
      <family val="0"/>
      <charset val="1"/>
    </font>
    <font>
      <b val="true"/>
      <sz val="10"/>
      <color rgb="FFFFFFFF"/>
      <name val="Arial"/>
      <family val="0"/>
      <charset val="1"/>
    </font>
    <font>
      <sz val="10"/>
      <name val="Arial"/>
      <family val="0"/>
      <charset val="1"/>
    </font>
    <font>
      <sz val="10"/>
      <color rgb="FF0000FF"/>
      <name val="Arial"/>
      <family val="0"/>
      <charset val="1"/>
    </font>
    <font>
      <sz val="10"/>
      <color rgb="FF008000"/>
      <name val="Arial"/>
      <family val="0"/>
      <charset val="1"/>
    </font>
    <font>
      <b val="true"/>
      <sz val="10"/>
      <name val="Arial"/>
      <family val="0"/>
      <charset val="1"/>
    </font>
    <font>
      <i val="true"/>
      <sz val="10"/>
      <color rgb="FF59595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4B6B6"/>
        <bgColor rgb="FFF9CB9C"/>
      </patternFill>
    </fill>
    <fill>
      <patternFill patternType="solid">
        <fgColor rgb="FFF9CB9C"/>
        <bgColor rgb="FFF4B6B6"/>
      </patternFill>
    </fill>
    <fill>
      <patternFill patternType="solid">
        <fgColor rgb="FFFFE599"/>
        <bgColor rgb="FFFFF2CC"/>
      </patternFill>
    </fill>
    <fill>
      <patternFill patternType="solid">
        <fgColor rgb="FFB6D7A8"/>
        <bgColor rgb="FFBFBFB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9" fontId="11"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5" fontId="11"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70" fontId="12" fillId="7"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B6D7A8"/>
          <bgColor rgb="FF000000"/>
        </patternFill>
      </fill>
    </dxf>
    <dxf>
      <fill>
        <patternFill patternType="solid">
          <fgColor rgb="FFF4B6B6"/>
          <bgColor rgb="FF000000"/>
        </patternFill>
      </fill>
    </dxf>
    <dxf>
      <fill>
        <patternFill patternType="solid">
          <fgColor rgb="FFF9CB9C"/>
          <bgColor rgb="FF000000"/>
        </patternFill>
      </fill>
    </dxf>
    <dxf>
      <fill>
        <patternFill patternType="solid">
          <fgColor rgb="FFFFE599"/>
          <bgColor rgb="FF000000"/>
        </patternFill>
      </fill>
    </dxf>
    <dxf>
      <fill>
        <patternFill>
          <bgColor rgb="FFF4B6B6"/>
        </patternFill>
      </fill>
    </dxf>
    <dxf>
      <fill>
        <patternFill>
          <bgColor rgb="FFF9CB9C"/>
        </patternFill>
      </fill>
    </dxf>
    <dxf>
      <fill>
        <patternFill>
          <bgColor rgb="FFFFE599"/>
        </patternFill>
      </fill>
    </dxf>
    <dxf>
      <fill>
        <patternFill>
          <bgColor rgb="FFB6D7A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B6D7A8"/>
      <rgbColor rgb="FF000080"/>
      <rgbColor rgb="FFFF00FF"/>
      <rgbColor rgb="FFFFFF00"/>
      <rgbColor rgb="FF00FFFF"/>
      <rgbColor rgb="FF800080"/>
      <rgbColor rgb="FF800000"/>
      <rgbColor rgb="FF008080"/>
      <rgbColor rgb="FF0000FF"/>
      <rgbColor rgb="FF00CCFF"/>
      <rgbColor rgb="FFCCFFFF"/>
      <rgbColor rgb="FFCCFFCC"/>
      <rgbColor rgb="FFFFE599"/>
      <rgbColor rgb="FF99CCFF"/>
      <rgbColor rgb="FFF4B6B6"/>
      <rgbColor rgb="FFCC99FF"/>
      <rgbColor rgb="FFF9CB9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8"/>
    <col collapsed="false" customWidth="true" hidden="false" outlineLevel="0" max="3" min="3" style="0" width="10"/>
    <col collapsed="false" customWidth="true" hidden="false" outlineLevel="0" max="4" min="4"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5" t="s">
        <v>8</v>
      </c>
      <c r="C6" s="5" t="s">
        <v>9</v>
      </c>
      <c r="D6" s="5" t="s">
        <v>10</v>
      </c>
    </row>
    <row r="7" customFormat="false" ht="15" hidden="false" customHeight="false" outlineLevel="0" collapsed="false">
      <c r="A7" s="5" t="s">
        <v>11</v>
      </c>
      <c r="B7" s="5" t="s">
        <v>12</v>
      </c>
      <c r="C7" s="5" t="s">
        <v>13</v>
      </c>
      <c r="D7" s="5" t="s">
        <v>10</v>
      </c>
    </row>
    <row r="8" customFormat="false" ht="15" hidden="false" customHeight="false" outlineLevel="0" collapsed="false">
      <c r="A8" s="5" t="s">
        <v>14</v>
      </c>
      <c r="B8" s="5" t="s">
        <v>15</v>
      </c>
      <c r="C8" s="5" t="s">
        <v>16</v>
      </c>
      <c r="D8" s="5" t="s">
        <v>10</v>
      </c>
    </row>
    <row r="9" customFormat="false" ht="15" hidden="false" customHeight="false" outlineLevel="0" collapsed="false">
      <c r="A9" s="5" t="s">
        <v>17</v>
      </c>
      <c r="B9" s="5" t="s">
        <v>18</v>
      </c>
      <c r="C9" s="5" t="s">
        <v>16</v>
      </c>
      <c r="D9" s="5" t="s">
        <v>10</v>
      </c>
    </row>
    <row r="10" customFormat="false" ht="15" hidden="false" customHeight="false" outlineLevel="0" collapsed="false">
      <c r="A10" s="5" t="s">
        <v>19</v>
      </c>
      <c r="B10" s="5" t="s">
        <v>20</v>
      </c>
      <c r="C10" s="5" t="s">
        <v>16</v>
      </c>
      <c r="D10" s="5" t="s">
        <v>10</v>
      </c>
    </row>
    <row r="11" customFormat="false" ht="15" hidden="false" customHeight="false" outlineLevel="0" collapsed="false">
      <c r="A11" s="5" t="s">
        <v>21</v>
      </c>
      <c r="B11" s="5" t="s">
        <v>22</v>
      </c>
      <c r="C11" s="5" t="s">
        <v>23</v>
      </c>
      <c r="D11" s="5" t="s">
        <v>10</v>
      </c>
    </row>
    <row r="12" customFormat="false" ht="15" hidden="false" customHeight="false" outlineLevel="0" collapsed="false">
      <c r="A12" s="5" t="s">
        <v>24</v>
      </c>
      <c r="B12" s="5" t="s">
        <v>25</v>
      </c>
      <c r="C12" s="5" t="s">
        <v>26</v>
      </c>
      <c r="D12" s="5" t="s">
        <v>27</v>
      </c>
    </row>
    <row r="13" customFormat="false" ht="15" hidden="false" customHeight="false" outlineLevel="0" collapsed="false">
      <c r="A13" s="5" t="s">
        <v>28</v>
      </c>
      <c r="B13" s="5" t="s">
        <v>29</v>
      </c>
      <c r="C13" s="5" t="s">
        <v>30</v>
      </c>
      <c r="D13" s="5" t="s">
        <v>27</v>
      </c>
    </row>
    <row r="15" customFormat="false" ht="15" hidden="false" customHeight="false" outlineLevel="0" collapsed="false">
      <c r="A15" s="3" t="s">
        <v>31</v>
      </c>
    </row>
    <row r="16" customFormat="false" ht="27.75" hidden="false" customHeight="true" outlineLevel="0" collapsed="false">
      <c r="A16" s="6" t="s">
        <v>32</v>
      </c>
      <c r="B16" s="6"/>
      <c r="C16" s="6"/>
      <c r="D16" s="6"/>
    </row>
    <row r="17" customFormat="false" ht="27.75" hidden="false" customHeight="true" outlineLevel="0" collapsed="false">
      <c r="A17" s="6" t="s">
        <v>33</v>
      </c>
      <c r="B17" s="6"/>
      <c r="C17" s="6"/>
      <c r="D17" s="6"/>
    </row>
    <row r="18" customFormat="false" ht="27.75" hidden="false" customHeight="true" outlineLevel="0" collapsed="false">
      <c r="A18" s="6" t="s">
        <v>34</v>
      </c>
      <c r="B18" s="6"/>
      <c r="C18" s="6"/>
      <c r="D18" s="6"/>
    </row>
    <row r="19" customFormat="false" ht="27.75" hidden="false" customHeight="true" outlineLevel="0" collapsed="false">
      <c r="A19" s="6" t="s">
        <v>35</v>
      </c>
      <c r="B19" s="6"/>
      <c r="C19" s="6"/>
      <c r="D19" s="6"/>
    </row>
    <row r="20" customFormat="false" ht="27.75" hidden="false" customHeight="true" outlineLevel="0" collapsed="false">
      <c r="A20" s="6" t="s">
        <v>36</v>
      </c>
      <c r="B20" s="6"/>
      <c r="C20" s="6"/>
      <c r="D20" s="6"/>
    </row>
  </sheetData>
  <mergeCells count="5">
    <mergeCell ref="A16:D16"/>
    <mergeCell ref="A17:D17"/>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20"/>
    <col collapsed="false" customWidth="true" hidden="false" outlineLevel="0" max="4" min="4" style="0" width="42"/>
    <col collapsed="false" customWidth="true" hidden="false" outlineLevel="0" max="5" min="5" style="0" width="32"/>
    <col collapsed="false" customWidth="true" hidden="false" outlineLevel="0" max="6" min="6" style="0" width="34"/>
    <col collapsed="false" customWidth="true" hidden="false" outlineLevel="0" max="7" min="7" style="0" width="15"/>
    <col collapsed="false" customWidth="true" hidden="false" outlineLevel="0" max="8" min="8" style="0" width="12"/>
    <col collapsed="false" customWidth="true" hidden="false" outlineLevel="0" max="9" min="9" style="0" width="26"/>
    <col collapsed="false" customWidth="true" hidden="false" outlineLevel="0" max="10" min="10" style="0" width="10"/>
  </cols>
  <sheetData>
    <row r="1" customFormat="false" ht="30" hidden="false" customHeight="true" outlineLevel="0" collapsed="false">
      <c r="A1" s="7" t="s">
        <v>37</v>
      </c>
      <c r="B1" s="7" t="s">
        <v>38</v>
      </c>
      <c r="C1" s="7" t="s">
        <v>39</v>
      </c>
      <c r="D1" s="7" t="s">
        <v>40</v>
      </c>
      <c r="E1" s="7" t="s">
        <v>41</v>
      </c>
      <c r="F1" s="7" t="s">
        <v>42</v>
      </c>
      <c r="G1" s="7" t="s">
        <v>43</v>
      </c>
      <c r="H1" s="7" t="s">
        <v>44</v>
      </c>
      <c r="I1" s="7" t="s">
        <v>45</v>
      </c>
      <c r="J1" s="7" t="s">
        <v>46</v>
      </c>
    </row>
    <row r="2" customFormat="false" ht="23.85" hidden="false" customHeight="false" outlineLevel="0" collapsed="false">
      <c r="A2" s="8" t="s">
        <v>47</v>
      </c>
      <c r="B2" s="5" t="s">
        <v>48</v>
      </c>
      <c r="C2" s="5" t="s">
        <v>49</v>
      </c>
      <c r="D2" s="5" t="s">
        <v>50</v>
      </c>
      <c r="E2" s="5" t="s">
        <v>51</v>
      </c>
      <c r="F2" s="5" t="s">
        <v>52</v>
      </c>
      <c r="G2" s="8" t="s">
        <v>53</v>
      </c>
      <c r="H2" s="9" t="n">
        <v>5</v>
      </c>
      <c r="I2" s="5" t="s">
        <v>54</v>
      </c>
      <c r="J2" s="8" t="n">
        <f aca="false">COUNTIF('Risk Register'!$B$2:$B$16,A2)</f>
        <v>1</v>
      </c>
    </row>
    <row r="3" customFormat="false" ht="23.85" hidden="false" customHeight="false" outlineLevel="0" collapsed="false">
      <c r="A3" s="8" t="s">
        <v>55</v>
      </c>
      <c r="B3" s="5" t="s">
        <v>56</v>
      </c>
      <c r="C3" s="5" t="s">
        <v>57</v>
      </c>
      <c r="D3" s="5" t="s">
        <v>58</v>
      </c>
      <c r="E3" s="5" t="s">
        <v>59</v>
      </c>
      <c r="F3" s="5" t="s">
        <v>52</v>
      </c>
      <c r="G3" s="8" t="s">
        <v>53</v>
      </c>
      <c r="H3" s="9" t="n">
        <v>5</v>
      </c>
      <c r="I3" s="5" t="s">
        <v>54</v>
      </c>
      <c r="J3" s="8" t="n">
        <f aca="false">COUNTIF('Risk Register'!$B$2:$B$16,A3)</f>
        <v>1</v>
      </c>
    </row>
    <row r="4" customFormat="false" ht="15" hidden="false" customHeight="false" outlineLevel="0" collapsed="false">
      <c r="A4" s="8" t="s">
        <v>60</v>
      </c>
      <c r="B4" s="5" t="s">
        <v>61</v>
      </c>
      <c r="C4" s="5" t="s">
        <v>62</v>
      </c>
      <c r="D4" s="5" t="s">
        <v>63</v>
      </c>
      <c r="E4" s="5" t="s">
        <v>64</v>
      </c>
      <c r="F4" s="5" t="s">
        <v>65</v>
      </c>
      <c r="G4" s="8" t="s">
        <v>53</v>
      </c>
      <c r="H4" s="9" t="n">
        <v>5</v>
      </c>
      <c r="I4" s="5" t="s">
        <v>66</v>
      </c>
      <c r="J4" s="8" t="n">
        <f aca="false">COUNTIF('Risk Register'!$B$2:$B$16,A4)</f>
        <v>1</v>
      </c>
    </row>
    <row r="5" customFormat="false" ht="15" hidden="false" customHeight="false" outlineLevel="0" collapsed="false">
      <c r="A5" s="8" t="s">
        <v>67</v>
      </c>
      <c r="B5" s="5" t="s">
        <v>68</v>
      </c>
      <c r="C5" s="5" t="s">
        <v>69</v>
      </c>
      <c r="D5" s="5" t="s">
        <v>70</v>
      </c>
      <c r="E5" s="5" t="s">
        <v>64</v>
      </c>
      <c r="F5" s="5" t="s">
        <v>71</v>
      </c>
      <c r="G5" s="8" t="s">
        <v>53</v>
      </c>
      <c r="H5" s="9" t="n">
        <v>4</v>
      </c>
      <c r="I5" s="5" t="s">
        <v>72</v>
      </c>
      <c r="J5" s="8" t="n">
        <f aca="false">COUNTIF('Risk Register'!$B$2:$B$16,A5)</f>
        <v>1</v>
      </c>
    </row>
    <row r="6" customFormat="false" ht="23.85" hidden="false" customHeight="false" outlineLevel="0" collapsed="false">
      <c r="A6" s="8" t="s">
        <v>73</v>
      </c>
      <c r="B6" s="5" t="s">
        <v>74</v>
      </c>
      <c r="C6" s="5" t="s">
        <v>75</v>
      </c>
      <c r="D6" s="5" t="s">
        <v>76</v>
      </c>
      <c r="E6" s="5" t="s">
        <v>64</v>
      </c>
      <c r="F6" s="5" t="s">
        <v>77</v>
      </c>
      <c r="G6" s="8" t="s">
        <v>53</v>
      </c>
      <c r="H6" s="9" t="n">
        <v>4</v>
      </c>
      <c r="I6" s="5" t="s">
        <v>78</v>
      </c>
      <c r="J6" s="8" t="n">
        <f aca="false">COUNTIF('Risk Register'!$B$2:$B$16,A6)</f>
        <v>1</v>
      </c>
    </row>
    <row r="7" customFormat="false" ht="15" hidden="false" customHeight="false" outlineLevel="0" collapsed="false">
      <c r="A7" s="8" t="s">
        <v>79</v>
      </c>
      <c r="B7" s="5" t="s">
        <v>80</v>
      </c>
      <c r="C7" s="5" t="s">
        <v>81</v>
      </c>
      <c r="D7" s="5" t="s">
        <v>82</v>
      </c>
      <c r="E7" s="5" t="s">
        <v>64</v>
      </c>
      <c r="F7" s="5" t="s">
        <v>83</v>
      </c>
      <c r="G7" s="8" t="s">
        <v>84</v>
      </c>
      <c r="H7" s="9" t="n">
        <v>4</v>
      </c>
      <c r="I7" s="5" t="s">
        <v>85</v>
      </c>
      <c r="J7" s="8" t="n">
        <f aca="false">COUNTIF('Risk Register'!$B$2:$B$16,A7)</f>
        <v>1</v>
      </c>
    </row>
    <row r="8" customFormat="false" ht="15" hidden="false" customHeight="false" outlineLevel="0" collapsed="false">
      <c r="A8" s="8" t="s">
        <v>86</v>
      </c>
      <c r="B8" s="5" t="s">
        <v>87</v>
      </c>
      <c r="C8" s="5" t="s">
        <v>62</v>
      </c>
      <c r="D8" s="5" t="s">
        <v>88</v>
      </c>
      <c r="E8" s="5" t="s">
        <v>64</v>
      </c>
      <c r="F8" s="5" t="s">
        <v>89</v>
      </c>
      <c r="G8" s="8" t="s">
        <v>53</v>
      </c>
      <c r="H8" s="9" t="n">
        <v>5</v>
      </c>
      <c r="I8" s="5" t="s">
        <v>54</v>
      </c>
      <c r="J8" s="8" t="n">
        <f aca="false">COUNTIF('Risk Register'!$B$2:$B$16,A8)</f>
        <v>1</v>
      </c>
    </row>
    <row r="9" customFormat="false" ht="23.85" hidden="false" customHeight="false" outlineLevel="0" collapsed="false">
      <c r="A9" s="8" t="s">
        <v>90</v>
      </c>
      <c r="B9" s="5" t="s">
        <v>91</v>
      </c>
      <c r="C9" s="5" t="s">
        <v>92</v>
      </c>
      <c r="D9" s="5" t="s">
        <v>93</v>
      </c>
      <c r="E9" s="5" t="s">
        <v>94</v>
      </c>
      <c r="F9" s="5" t="s">
        <v>95</v>
      </c>
      <c r="G9" s="8" t="s">
        <v>53</v>
      </c>
      <c r="H9" s="9" t="n">
        <v>3</v>
      </c>
      <c r="I9" s="5" t="s">
        <v>54</v>
      </c>
      <c r="J9" s="8" t="n">
        <f aca="false">COUNTIF('Risk Register'!$B$2:$B$16,A9)</f>
        <v>0</v>
      </c>
    </row>
    <row r="10" customFormat="false" ht="23.85" hidden="false" customHeight="false" outlineLevel="0" collapsed="false">
      <c r="A10" s="8" t="s">
        <v>96</v>
      </c>
      <c r="B10" s="5" t="s">
        <v>97</v>
      </c>
      <c r="C10" s="5" t="s">
        <v>92</v>
      </c>
      <c r="D10" s="5" t="s">
        <v>98</v>
      </c>
      <c r="E10" s="5" t="s">
        <v>99</v>
      </c>
      <c r="F10" s="5" t="s">
        <v>100</v>
      </c>
      <c r="G10" s="8" t="s">
        <v>53</v>
      </c>
      <c r="H10" s="9" t="n">
        <v>4</v>
      </c>
      <c r="I10" s="5" t="s">
        <v>54</v>
      </c>
      <c r="J10" s="8" t="n">
        <f aca="false">COUNTIF('Risk Register'!$B$2:$B$16,A10)</f>
        <v>1</v>
      </c>
    </row>
    <row r="11" customFormat="false" ht="23.85" hidden="false" customHeight="false" outlineLevel="0" collapsed="false">
      <c r="A11" s="8" t="s">
        <v>101</v>
      </c>
      <c r="B11" s="5" t="s">
        <v>102</v>
      </c>
      <c r="C11" s="5" t="s">
        <v>103</v>
      </c>
      <c r="D11" s="5" t="s">
        <v>104</v>
      </c>
      <c r="E11" s="5" t="s">
        <v>105</v>
      </c>
      <c r="F11" s="5" t="s">
        <v>106</v>
      </c>
      <c r="G11" s="8" t="s">
        <v>53</v>
      </c>
      <c r="H11" s="9" t="n">
        <v>4</v>
      </c>
      <c r="I11" s="5" t="s">
        <v>107</v>
      </c>
      <c r="J11" s="8" t="n">
        <f aca="false">COUNTIF('Risk Register'!$B$2:$B$16,A11)</f>
        <v>0</v>
      </c>
    </row>
    <row r="12" customFormat="false" ht="15" hidden="false" customHeight="false" outlineLevel="0" collapsed="false">
      <c r="A12" s="8" t="s">
        <v>108</v>
      </c>
      <c r="B12" s="5" t="s">
        <v>109</v>
      </c>
      <c r="C12" s="5" t="s">
        <v>110</v>
      </c>
      <c r="D12" s="5" t="s">
        <v>111</v>
      </c>
      <c r="E12" s="5" t="s">
        <v>64</v>
      </c>
      <c r="F12" s="5" t="s">
        <v>112</v>
      </c>
      <c r="G12" s="8" t="s">
        <v>113</v>
      </c>
      <c r="H12" s="9" t="n">
        <v>4</v>
      </c>
      <c r="I12" s="5" t="s">
        <v>114</v>
      </c>
      <c r="J12" s="8" t="n">
        <f aca="false">COUNTIF('Risk Register'!$B$2:$B$16,A12)</f>
        <v>0</v>
      </c>
    </row>
    <row r="13" customFormat="false" ht="15" hidden="false" customHeight="false" outlineLevel="0" collapsed="false">
      <c r="A13" s="8" t="s">
        <v>115</v>
      </c>
      <c r="B13" s="5" t="s">
        <v>116</v>
      </c>
      <c r="C13" s="5" t="s">
        <v>117</v>
      </c>
      <c r="D13" s="5" t="s">
        <v>118</v>
      </c>
      <c r="E13" s="5" t="s">
        <v>119</v>
      </c>
      <c r="F13" s="5" t="s">
        <v>120</v>
      </c>
      <c r="G13" s="8" t="s">
        <v>84</v>
      </c>
      <c r="H13" s="9" t="n">
        <v>3</v>
      </c>
      <c r="I13" s="5" t="s">
        <v>121</v>
      </c>
      <c r="J13" s="8" t="n">
        <f aca="false">COUNTIF('Risk Register'!$B$2:$B$16,A13)</f>
        <v>1</v>
      </c>
    </row>
    <row r="14" customFormat="false" ht="23.85" hidden="false" customHeight="false" outlineLevel="0" collapsed="false">
      <c r="A14" s="8" t="s">
        <v>122</v>
      </c>
      <c r="B14" s="5" t="s">
        <v>123</v>
      </c>
      <c r="C14" s="5" t="s">
        <v>117</v>
      </c>
      <c r="D14" s="5" t="s">
        <v>124</v>
      </c>
      <c r="E14" s="5" t="s">
        <v>125</v>
      </c>
      <c r="F14" s="5" t="s">
        <v>126</v>
      </c>
      <c r="G14" s="8" t="s">
        <v>53</v>
      </c>
      <c r="H14" s="9" t="n">
        <v>4</v>
      </c>
      <c r="I14" s="5" t="s">
        <v>127</v>
      </c>
      <c r="J14" s="8" t="n">
        <f aca="false">COUNTIF('Risk Register'!$B$2:$B$16,A14)</f>
        <v>0</v>
      </c>
    </row>
    <row r="15" customFormat="false" ht="23.85" hidden="false" customHeight="false" outlineLevel="0" collapsed="false">
      <c r="A15" s="8" t="s">
        <v>128</v>
      </c>
      <c r="B15" s="5" t="s">
        <v>129</v>
      </c>
      <c r="C15" s="5" t="s">
        <v>130</v>
      </c>
      <c r="D15" s="5" t="s">
        <v>131</v>
      </c>
      <c r="E15" s="5" t="s">
        <v>51</v>
      </c>
      <c r="F15" s="5" t="s">
        <v>52</v>
      </c>
      <c r="G15" s="8" t="s">
        <v>53</v>
      </c>
      <c r="H15" s="9" t="n">
        <v>2</v>
      </c>
      <c r="I15" s="5" t="s">
        <v>114</v>
      </c>
      <c r="J15" s="8" t="n">
        <f aca="false">COUNTIF('Risk Register'!$B$2:$B$16,A15)</f>
        <v>1</v>
      </c>
    </row>
    <row r="16" customFormat="false" ht="23.85" hidden="false" customHeight="false" outlineLevel="0" collapsed="false">
      <c r="A16" s="8" t="s">
        <v>132</v>
      </c>
      <c r="B16" s="5" t="s">
        <v>133</v>
      </c>
      <c r="C16" s="5" t="s">
        <v>134</v>
      </c>
      <c r="D16" s="5" t="s">
        <v>135</v>
      </c>
      <c r="E16" s="5" t="s">
        <v>64</v>
      </c>
      <c r="F16" s="5" t="s">
        <v>136</v>
      </c>
      <c r="G16" s="8" t="s">
        <v>53</v>
      </c>
      <c r="H16" s="9" t="n">
        <v>3</v>
      </c>
      <c r="I16" s="5" t="s">
        <v>137</v>
      </c>
      <c r="J16" s="8" t="n">
        <f aca="false">COUNTIF('Risk Register'!$B$2:$B$16,A16)</f>
        <v>1</v>
      </c>
    </row>
    <row r="17" customFormat="false" ht="15" hidden="false" customHeight="false" outlineLevel="0" collapsed="false">
      <c r="A17" s="8" t="s">
        <v>138</v>
      </c>
      <c r="B17" s="5" t="s">
        <v>139</v>
      </c>
      <c r="C17" s="5" t="s">
        <v>134</v>
      </c>
      <c r="D17" s="5" t="s">
        <v>140</v>
      </c>
      <c r="E17" s="5" t="s">
        <v>105</v>
      </c>
      <c r="F17" s="5" t="s">
        <v>141</v>
      </c>
      <c r="G17" s="8" t="s">
        <v>53</v>
      </c>
      <c r="H17" s="9" t="n">
        <v>4</v>
      </c>
      <c r="I17" s="5" t="s">
        <v>54</v>
      </c>
      <c r="J17" s="8" t="n">
        <f aca="false">COUNTIF('Risk Register'!$B$2:$B$16,A17)</f>
        <v>1</v>
      </c>
    </row>
    <row r="18" customFormat="false" ht="23.85" hidden="false" customHeight="false" outlineLevel="0" collapsed="false">
      <c r="A18" s="8" t="s">
        <v>142</v>
      </c>
      <c r="B18" s="5" t="s">
        <v>143</v>
      </c>
      <c r="C18" s="5" t="s">
        <v>144</v>
      </c>
      <c r="D18" s="5" t="s">
        <v>145</v>
      </c>
      <c r="E18" s="5" t="s">
        <v>64</v>
      </c>
      <c r="F18" s="5" t="s">
        <v>146</v>
      </c>
      <c r="G18" s="8" t="s">
        <v>53</v>
      </c>
      <c r="H18" s="9" t="n">
        <v>5</v>
      </c>
      <c r="I18" s="5" t="s">
        <v>147</v>
      </c>
      <c r="J18" s="8" t="n">
        <f aca="false">COUNTIF('Risk Register'!$B$2:$B$16,A18)</f>
        <v>0</v>
      </c>
    </row>
    <row r="19" customFormat="false" ht="23.85" hidden="false" customHeight="false" outlineLevel="0" collapsed="false">
      <c r="A19" s="8" t="s">
        <v>148</v>
      </c>
      <c r="B19" s="5" t="s">
        <v>149</v>
      </c>
      <c r="C19" s="5" t="s">
        <v>144</v>
      </c>
      <c r="D19" s="5" t="s">
        <v>150</v>
      </c>
      <c r="E19" s="5" t="s">
        <v>64</v>
      </c>
      <c r="F19" s="5" t="s">
        <v>151</v>
      </c>
      <c r="G19" s="8" t="s">
        <v>53</v>
      </c>
      <c r="H19" s="9" t="n">
        <v>4</v>
      </c>
      <c r="I19" s="5" t="s">
        <v>152</v>
      </c>
      <c r="J19" s="8" t="n">
        <f aca="false">COUNTIF('Risk Register'!$B$2:$B$16,A19)</f>
        <v>3</v>
      </c>
    </row>
  </sheetData>
  <autoFilter ref="A1:J19"/>
  <dataValidations count="2">
    <dataValidation allowBlank="false" error="Enter a whole number from 1 to 5." errorStyle="stop" errorTitle="Criticality" operator="between" showDropDown="false" showErrorMessage="true" showInputMessage="false" sqref="H2:H19" type="whole">
      <formula1>1</formula1>
      <formula2>5</formula2>
    </dataValidation>
    <dataValidation allowBlank="false" errorStyle="stop" operator="between" showDropDown="false" showErrorMessage="true" showInputMessage="false" sqref="G2:G19" type="list">
      <formula1>"Restricted,Confidential,Internal"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2"/>
    <col collapsed="false" customWidth="true" hidden="false" outlineLevel="0" max="3" min="3" style="0" width="16"/>
    <col collapsed="false" customWidth="true" hidden="false" outlineLevel="0" max="4" min="4" style="0" width="18"/>
  </cols>
  <sheetData>
    <row r="1" customFormat="false" ht="17.35" hidden="false" customHeight="false" outlineLevel="0" collapsed="false">
      <c r="A1" s="1" t="s">
        <v>153</v>
      </c>
    </row>
    <row r="2" customFormat="false" ht="30" hidden="false" customHeight="true" outlineLevel="0" collapsed="false">
      <c r="A2" s="10" t="s">
        <v>154</v>
      </c>
      <c r="B2" s="10"/>
      <c r="C2" s="10"/>
      <c r="D2" s="10"/>
    </row>
    <row r="4" customFormat="false" ht="15" hidden="false" customHeight="false" outlineLevel="0" collapsed="false">
      <c r="A4" s="7" t="s">
        <v>155</v>
      </c>
      <c r="B4" s="7" t="s">
        <v>156</v>
      </c>
      <c r="C4" s="7" t="s">
        <v>157</v>
      </c>
      <c r="D4" s="7" t="s">
        <v>158</v>
      </c>
    </row>
    <row r="5" customFormat="false" ht="15" hidden="false" customHeight="false" outlineLevel="0" collapsed="false">
      <c r="A5" s="8" t="s">
        <v>159</v>
      </c>
      <c r="B5" s="5" t="s">
        <v>160</v>
      </c>
      <c r="C5" s="8" t="s">
        <v>161</v>
      </c>
      <c r="D5" s="8" t="s">
        <v>162</v>
      </c>
    </row>
    <row r="6" customFormat="false" ht="15" hidden="false" customHeight="false" outlineLevel="0" collapsed="false">
      <c r="A6" s="8" t="s">
        <v>163</v>
      </c>
      <c r="B6" s="5" t="s">
        <v>164</v>
      </c>
      <c r="C6" s="8" t="s">
        <v>165</v>
      </c>
      <c r="D6" s="8" t="s">
        <v>166</v>
      </c>
    </row>
    <row r="7" customFormat="false" ht="15" hidden="false" customHeight="false" outlineLevel="0" collapsed="false">
      <c r="A7" s="8" t="s">
        <v>167</v>
      </c>
      <c r="B7" s="5" t="s">
        <v>168</v>
      </c>
      <c r="C7" s="8" t="s">
        <v>73</v>
      </c>
      <c r="D7" s="8" t="s">
        <v>169</v>
      </c>
    </row>
    <row r="8" customFormat="false" ht="15" hidden="false" customHeight="false" outlineLevel="0" collapsed="false">
      <c r="A8" s="8" t="s">
        <v>170</v>
      </c>
      <c r="B8" s="5" t="s">
        <v>171</v>
      </c>
      <c r="C8" s="8" t="s">
        <v>73</v>
      </c>
      <c r="D8" s="8" t="s">
        <v>172</v>
      </c>
    </row>
    <row r="9" customFormat="false" ht="15" hidden="false" customHeight="false" outlineLevel="0" collapsed="false">
      <c r="A9" s="8" t="s">
        <v>173</v>
      </c>
      <c r="B9" s="5" t="s">
        <v>174</v>
      </c>
      <c r="C9" s="8" t="s">
        <v>86</v>
      </c>
      <c r="D9" s="8" t="s">
        <v>175</v>
      </c>
    </row>
    <row r="10" customFormat="false" ht="15" hidden="false" customHeight="false" outlineLevel="0" collapsed="false">
      <c r="A10" s="8" t="s">
        <v>176</v>
      </c>
      <c r="B10" s="5" t="s">
        <v>177</v>
      </c>
      <c r="C10" s="8" t="s">
        <v>47</v>
      </c>
      <c r="D10" s="8" t="s">
        <v>178</v>
      </c>
    </row>
    <row r="11" customFormat="false" ht="15" hidden="false" customHeight="false" outlineLevel="0" collapsed="false">
      <c r="A11" s="8" t="s">
        <v>179</v>
      </c>
      <c r="B11" s="5" t="s">
        <v>180</v>
      </c>
      <c r="C11" s="8" t="s">
        <v>148</v>
      </c>
      <c r="D11" s="8" t="s">
        <v>181</v>
      </c>
    </row>
    <row r="12" customFormat="false" ht="15" hidden="false" customHeight="false" outlineLevel="0" collapsed="false">
      <c r="A12" s="8" t="s">
        <v>182</v>
      </c>
      <c r="B12" s="5" t="s">
        <v>183</v>
      </c>
      <c r="C12" s="8" t="s">
        <v>55</v>
      </c>
      <c r="D12" s="8" t="s">
        <v>184</v>
      </c>
    </row>
    <row r="13" customFormat="false" ht="15" hidden="false" customHeight="false" outlineLevel="0" collapsed="false">
      <c r="A13" s="8" t="s">
        <v>185</v>
      </c>
      <c r="B13" s="5" t="s">
        <v>186</v>
      </c>
      <c r="C13" s="8" t="s">
        <v>67</v>
      </c>
      <c r="D13" s="8" t="s">
        <v>169</v>
      </c>
    </row>
    <row r="14" customFormat="false" ht="23.85" hidden="false" customHeight="false" outlineLevel="0" collapsed="false">
      <c r="A14" s="8" t="s">
        <v>187</v>
      </c>
      <c r="B14" s="5" t="s">
        <v>188</v>
      </c>
      <c r="C14" s="8" t="s">
        <v>132</v>
      </c>
      <c r="D14" s="8" t="s">
        <v>189</v>
      </c>
    </row>
    <row r="15" customFormat="false" ht="15" hidden="false" customHeight="false" outlineLevel="0" collapsed="false">
      <c r="A15" s="8" t="s">
        <v>190</v>
      </c>
      <c r="B15" s="5" t="s">
        <v>191</v>
      </c>
      <c r="C15" s="8" t="s">
        <v>148</v>
      </c>
      <c r="D15" s="8" t="s">
        <v>192</v>
      </c>
    </row>
    <row r="16" customFormat="false" ht="15" hidden="false" customHeight="false" outlineLevel="0" collapsed="false">
      <c r="A16" s="8" t="s">
        <v>193</v>
      </c>
      <c r="B16" s="5" t="s">
        <v>194</v>
      </c>
      <c r="C16" s="8" t="s">
        <v>60</v>
      </c>
      <c r="D16" s="8" t="s">
        <v>195</v>
      </c>
    </row>
    <row r="17" customFormat="false" ht="15" hidden="false" customHeight="false" outlineLevel="0" collapsed="false">
      <c r="A17" s="8" t="s">
        <v>196</v>
      </c>
      <c r="B17" s="5" t="s">
        <v>197</v>
      </c>
      <c r="C17" s="8" t="s">
        <v>96</v>
      </c>
      <c r="D17" s="8" t="s">
        <v>198</v>
      </c>
    </row>
    <row r="18" customFormat="false" ht="15" hidden="false" customHeight="false" outlineLevel="0" collapsed="false">
      <c r="A18" s="8" t="s">
        <v>199</v>
      </c>
      <c r="B18" s="5" t="s">
        <v>200</v>
      </c>
      <c r="C18" s="8" t="s">
        <v>128</v>
      </c>
      <c r="D18" s="8" t="s">
        <v>201</v>
      </c>
    </row>
    <row r="19" customFormat="false" ht="15" hidden="false" customHeight="false" outlineLevel="0" collapsed="false">
      <c r="A19" s="8" t="s">
        <v>202</v>
      </c>
      <c r="B19" s="5" t="s">
        <v>203</v>
      </c>
      <c r="C19" s="8" t="s">
        <v>138</v>
      </c>
      <c r="D19" s="8" t="s">
        <v>204</v>
      </c>
    </row>
    <row r="20" customFormat="false" ht="15" hidden="false" customHeight="false" outlineLevel="0" collapsed="false">
      <c r="A20" s="8" t="s">
        <v>205</v>
      </c>
      <c r="B20" s="5" t="s">
        <v>206</v>
      </c>
      <c r="C20" s="8" t="s">
        <v>115</v>
      </c>
      <c r="D20" s="8" t="s">
        <v>207</v>
      </c>
    </row>
    <row r="21" customFormat="false" ht="15" hidden="false" customHeight="false" outlineLevel="0" collapsed="false">
      <c r="A21" s="8" t="s">
        <v>208</v>
      </c>
      <c r="B21" s="5" t="s">
        <v>209</v>
      </c>
      <c r="C21" s="8" t="s">
        <v>210</v>
      </c>
      <c r="D21" s="8" t="s">
        <v>211</v>
      </c>
    </row>
    <row r="22" customFormat="false" ht="15" hidden="false" customHeight="false" outlineLevel="0" collapsed="false">
      <c r="A22" s="8" t="s">
        <v>212</v>
      </c>
      <c r="B22" s="5" t="s">
        <v>213</v>
      </c>
      <c r="C22" s="8" t="s">
        <v>214</v>
      </c>
      <c r="D22" s="8" t="s">
        <v>169</v>
      </c>
    </row>
  </sheetData>
  <mergeCells count="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74"/>
    <col collapsed="false" customWidth="true" hidden="false" outlineLevel="0" max="4" min="4" style="0" width="34"/>
  </cols>
  <sheetData>
    <row r="1" customFormat="false" ht="17.35" hidden="false" customHeight="false" outlineLevel="0" collapsed="false">
      <c r="A1" s="1" t="s">
        <v>14</v>
      </c>
    </row>
    <row r="3" customFormat="false" ht="15" hidden="false" customHeight="false" outlineLevel="0" collapsed="false">
      <c r="A3" s="3" t="s">
        <v>215</v>
      </c>
    </row>
    <row r="4" customFormat="false" ht="15" hidden="false" customHeight="false" outlineLevel="0" collapsed="false">
      <c r="A4" s="7" t="s">
        <v>216</v>
      </c>
      <c r="B4" s="7" t="s">
        <v>217</v>
      </c>
      <c r="C4" s="7" t="s">
        <v>218</v>
      </c>
      <c r="D4" s="7" t="s">
        <v>219</v>
      </c>
    </row>
    <row r="5" customFormat="false" ht="15" hidden="false" customHeight="false" outlineLevel="0" collapsed="false">
      <c r="A5" s="8" t="n">
        <v>1</v>
      </c>
      <c r="B5" s="5" t="s">
        <v>220</v>
      </c>
      <c r="C5" s="5" t="s">
        <v>221</v>
      </c>
      <c r="D5" s="5"/>
    </row>
    <row r="6" customFormat="false" ht="15" hidden="false" customHeight="false" outlineLevel="0" collapsed="false">
      <c r="A6" s="8" t="n">
        <v>2</v>
      </c>
      <c r="B6" s="5" t="s">
        <v>222</v>
      </c>
      <c r="C6" s="5" t="s">
        <v>223</v>
      </c>
      <c r="D6" s="5"/>
    </row>
    <row r="7" customFormat="false" ht="15" hidden="false" customHeight="false" outlineLevel="0" collapsed="false">
      <c r="A7" s="8" t="n">
        <v>3</v>
      </c>
      <c r="B7" s="5" t="s">
        <v>224</v>
      </c>
      <c r="C7" s="5" t="s">
        <v>225</v>
      </c>
      <c r="D7" s="5"/>
    </row>
    <row r="8" customFormat="false" ht="15" hidden="false" customHeight="false" outlineLevel="0" collapsed="false">
      <c r="A8" s="8" t="n">
        <v>4</v>
      </c>
      <c r="B8" s="5" t="s">
        <v>226</v>
      </c>
      <c r="C8" s="5" t="s">
        <v>227</v>
      </c>
      <c r="D8" s="5"/>
    </row>
    <row r="9" customFormat="false" ht="15" hidden="false" customHeight="false" outlineLevel="0" collapsed="false">
      <c r="A9" s="8" t="n">
        <v>5</v>
      </c>
      <c r="B9" s="5" t="s">
        <v>228</v>
      </c>
      <c r="C9" s="5" t="s">
        <v>229</v>
      </c>
      <c r="D9" s="5"/>
    </row>
    <row r="11" customFormat="false" ht="15" hidden="false" customHeight="false" outlineLevel="0" collapsed="false">
      <c r="A11" s="3" t="s">
        <v>230</v>
      </c>
    </row>
    <row r="12" customFormat="false" ht="15" hidden="false" customHeight="false" outlineLevel="0" collapsed="false">
      <c r="A12" s="7" t="s">
        <v>216</v>
      </c>
      <c r="B12" s="7" t="s">
        <v>217</v>
      </c>
      <c r="C12" s="7" t="s">
        <v>218</v>
      </c>
      <c r="D12" s="7"/>
    </row>
    <row r="13" customFormat="false" ht="15" hidden="false" customHeight="false" outlineLevel="0" collapsed="false">
      <c r="A13" s="8" t="n">
        <v>1</v>
      </c>
      <c r="B13" s="5" t="s">
        <v>231</v>
      </c>
      <c r="C13" s="5" t="s">
        <v>232</v>
      </c>
      <c r="D13" s="5"/>
    </row>
    <row r="14" customFormat="false" ht="15" hidden="false" customHeight="false" outlineLevel="0" collapsed="false">
      <c r="A14" s="8" t="n">
        <v>2</v>
      </c>
      <c r="B14" s="5" t="s">
        <v>233</v>
      </c>
      <c r="C14" s="5" t="s">
        <v>234</v>
      </c>
      <c r="D14" s="5"/>
    </row>
    <row r="15" customFormat="false" ht="15" hidden="false" customHeight="false" outlineLevel="0" collapsed="false">
      <c r="A15" s="8" t="n">
        <v>3</v>
      </c>
      <c r="B15" s="5" t="s">
        <v>235</v>
      </c>
      <c r="C15" s="5" t="s">
        <v>236</v>
      </c>
      <c r="D15" s="5"/>
    </row>
    <row r="16" customFormat="false" ht="23.85" hidden="false" customHeight="false" outlineLevel="0" collapsed="false">
      <c r="A16" s="8" t="n">
        <v>4</v>
      </c>
      <c r="B16" s="5" t="s">
        <v>237</v>
      </c>
      <c r="C16" s="5" t="s">
        <v>238</v>
      </c>
      <c r="D16" s="5"/>
    </row>
    <row r="17" customFormat="false" ht="15" hidden="false" customHeight="false" outlineLevel="0" collapsed="false">
      <c r="A17" s="8" t="n">
        <v>5</v>
      </c>
      <c r="B17" s="5" t="s">
        <v>239</v>
      </c>
      <c r="C17" s="5" t="s">
        <v>240</v>
      </c>
      <c r="D17" s="5"/>
    </row>
    <row r="19" customFormat="false" ht="15" hidden="false" customHeight="false" outlineLevel="0" collapsed="false">
      <c r="A19" s="3" t="s">
        <v>241</v>
      </c>
    </row>
    <row r="20" customFormat="false" ht="15" hidden="false" customHeight="false" outlineLevel="0" collapsed="false">
      <c r="A20" s="7" t="s">
        <v>242</v>
      </c>
      <c r="B20" s="7" t="s">
        <v>243</v>
      </c>
      <c r="C20" s="7" t="s">
        <v>218</v>
      </c>
      <c r="D20" s="7" t="s">
        <v>219</v>
      </c>
    </row>
    <row r="21" customFormat="false" ht="15" hidden="false" customHeight="false" outlineLevel="0" collapsed="false">
      <c r="A21" s="8" t="s">
        <v>244</v>
      </c>
      <c r="B21" s="11" t="n">
        <v>1</v>
      </c>
      <c r="C21" s="5" t="s">
        <v>245</v>
      </c>
      <c r="D21" s="5" t="s">
        <v>246</v>
      </c>
    </row>
    <row r="22" customFormat="false" ht="15" hidden="false" customHeight="false" outlineLevel="0" collapsed="false">
      <c r="A22" s="8" t="s">
        <v>247</v>
      </c>
      <c r="B22" s="11" t="n">
        <v>5</v>
      </c>
      <c r="C22" s="5" t="s">
        <v>248</v>
      </c>
      <c r="D22" s="5" t="s">
        <v>249</v>
      </c>
    </row>
    <row r="23" customFormat="false" ht="15" hidden="false" customHeight="false" outlineLevel="0" collapsed="false">
      <c r="A23" s="8" t="s">
        <v>250</v>
      </c>
      <c r="B23" s="11" t="n">
        <v>10</v>
      </c>
      <c r="C23" s="5" t="s">
        <v>251</v>
      </c>
      <c r="D23" s="5" t="s">
        <v>252</v>
      </c>
    </row>
    <row r="24" customFormat="false" ht="15" hidden="false" customHeight="false" outlineLevel="0" collapsed="false">
      <c r="A24" s="8" t="s">
        <v>253</v>
      </c>
      <c r="B24" s="11" t="n">
        <v>17</v>
      </c>
      <c r="C24" s="5" t="s">
        <v>254</v>
      </c>
      <c r="D24" s="5" t="s">
        <v>255</v>
      </c>
    </row>
    <row r="25" customFormat="false" ht="15" hidden="false" customHeight="false" outlineLevel="0" collapsed="false">
      <c r="A25" s="2" t="s">
        <v>256</v>
      </c>
    </row>
    <row r="27" customFormat="false" ht="15" hidden="false" customHeight="false" outlineLevel="0" collapsed="false">
      <c r="A27" s="3" t="s">
        <v>257</v>
      </c>
    </row>
    <row r="28" customFormat="false" ht="15" hidden="false" customHeight="false" outlineLevel="0" collapsed="false">
      <c r="A28" s="7" t="s">
        <v>258</v>
      </c>
      <c r="B28" s="7" t="s">
        <v>218</v>
      </c>
      <c r="C28" s="7"/>
      <c r="D28" s="7"/>
    </row>
    <row r="29" customFormat="false" ht="23.85" hidden="false" customHeight="false" outlineLevel="0" collapsed="false">
      <c r="A29" s="8" t="s">
        <v>259</v>
      </c>
      <c r="B29" s="5" t="s">
        <v>260</v>
      </c>
      <c r="C29" s="5"/>
      <c r="D29" s="5"/>
    </row>
    <row r="30" customFormat="false" ht="46.25" hidden="false" customHeight="false" outlineLevel="0" collapsed="false">
      <c r="A30" s="8" t="s">
        <v>261</v>
      </c>
      <c r="B30" s="5" t="s">
        <v>262</v>
      </c>
      <c r="C30" s="5"/>
      <c r="D30" s="5"/>
    </row>
    <row r="31" customFormat="false" ht="57.45" hidden="false" customHeight="false" outlineLevel="0" collapsed="false">
      <c r="A31" s="8" t="s">
        <v>263</v>
      </c>
      <c r="B31" s="5" t="s">
        <v>264</v>
      </c>
      <c r="C31" s="5"/>
      <c r="D31" s="5"/>
    </row>
    <row r="32" customFormat="false" ht="23.85" hidden="false" customHeight="false" outlineLevel="0" collapsed="false">
      <c r="A32" s="8" t="s">
        <v>265</v>
      </c>
      <c r="B32" s="5" t="s">
        <v>266</v>
      </c>
      <c r="C32" s="5"/>
      <c r="D32" s="5"/>
    </row>
    <row r="34" customFormat="false" ht="15" hidden="false" customHeight="false" outlineLevel="0" collapsed="false">
      <c r="A34" s="3" t="s">
        <v>267</v>
      </c>
    </row>
    <row r="35" customFormat="false" ht="15" hidden="false" customHeight="false" outlineLevel="0" collapsed="false">
      <c r="A35" s="7" t="s">
        <v>216</v>
      </c>
      <c r="B35" s="7" t="s">
        <v>217</v>
      </c>
      <c r="C35" s="7" t="s">
        <v>218</v>
      </c>
      <c r="D35" s="7"/>
    </row>
    <row r="36" customFormat="false" ht="15" hidden="false" customHeight="false" outlineLevel="0" collapsed="false">
      <c r="A36" s="8" t="n">
        <v>1</v>
      </c>
      <c r="B36" s="5" t="s">
        <v>268</v>
      </c>
      <c r="C36" s="5" t="s">
        <v>269</v>
      </c>
      <c r="D36" s="5"/>
    </row>
    <row r="37" customFormat="false" ht="15" hidden="false" customHeight="false" outlineLevel="0" collapsed="false">
      <c r="A37" s="8" t="n">
        <v>2</v>
      </c>
      <c r="B37" s="5" t="s">
        <v>244</v>
      </c>
      <c r="C37" s="5" t="s">
        <v>270</v>
      </c>
      <c r="D37" s="5"/>
    </row>
    <row r="38" customFormat="false" ht="15" hidden="false" customHeight="false" outlineLevel="0" collapsed="false">
      <c r="A38" s="8" t="n">
        <v>3</v>
      </c>
      <c r="B38" s="5" t="s">
        <v>247</v>
      </c>
      <c r="C38" s="5" t="s">
        <v>271</v>
      </c>
      <c r="D38" s="5"/>
    </row>
    <row r="39" customFormat="false" ht="15" hidden="false" customHeight="false" outlineLevel="0" collapsed="false">
      <c r="A39" s="8" t="n">
        <v>4</v>
      </c>
      <c r="B39" s="5" t="s">
        <v>250</v>
      </c>
      <c r="C39" s="5" t="s">
        <v>272</v>
      </c>
      <c r="D39" s="5"/>
    </row>
    <row r="40" customFormat="false" ht="15" hidden="false" customHeight="false" outlineLevel="0" collapsed="false">
      <c r="A40" s="8" t="n">
        <v>5</v>
      </c>
      <c r="B40" s="5" t="s">
        <v>273</v>
      </c>
      <c r="C40" s="5" t="s">
        <v>274</v>
      </c>
      <c r="D40" s="5"/>
    </row>
    <row r="42" customFormat="false" ht="15" hidden="false" customHeight="false" outlineLevel="0" collapsed="false">
      <c r="A42" s="3" t="s">
        <v>275</v>
      </c>
    </row>
    <row r="43" customFormat="false" ht="15" hidden="false" customHeight="false" outlineLevel="0" collapsed="false">
      <c r="A43" s="7" t="s">
        <v>276</v>
      </c>
      <c r="B43" s="7" t="s">
        <v>218</v>
      </c>
      <c r="C43" s="7"/>
      <c r="D43" s="7"/>
    </row>
    <row r="44" customFormat="false" ht="57.45" hidden="false" customHeight="false" outlineLevel="0" collapsed="false">
      <c r="A44" s="8" t="s">
        <v>53</v>
      </c>
      <c r="B44" s="5" t="s">
        <v>277</v>
      </c>
      <c r="C44" s="5"/>
      <c r="D44" s="5"/>
    </row>
    <row r="45" customFormat="false" ht="57.45" hidden="false" customHeight="false" outlineLevel="0" collapsed="false">
      <c r="A45" s="8" t="s">
        <v>84</v>
      </c>
      <c r="B45" s="5" t="s">
        <v>278</v>
      </c>
      <c r="C45" s="5"/>
      <c r="D45" s="5"/>
    </row>
    <row r="46" customFormat="false" ht="23.85" hidden="false" customHeight="false" outlineLevel="0" collapsed="false">
      <c r="A46" s="8" t="s">
        <v>113</v>
      </c>
      <c r="B46" s="5" t="s">
        <v>279</v>
      </c>
      <c r="C46" s="5"/>
      <c r="D46" s="5"/>
    </row>
    <row r="48" customFormat="false" ht="30" hidden="false" customHeight="true" outlineLevel="0" collapsed="false">
      <c r="A48" s="10" t="s">
        <v>280</v>
      </c>
      <c r="B48" s="10"/>
      <c r="C48" s="10"/>
      <c r="D48" s="10"/>
    </row>
  </sheetData>
  <mergeCells count="1">
    <mergeCell ref="A48:D4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28"/>
    <col collapsed="false" customWidth="true" hidden="false" outlineLevel="0" max="4" min="4" style="0" width="48"/>
    <col collapsed="false" customWidth="true" hidden="false" outlineLevel="0" max="5" min="5" style="0" width="24"/>
    <col collapsed="false" customWidth="true" hidden="false" outlineLevel="0" max="6" min="6" style="0" width="44"/>
    <col collapsed="false" customWidth="true" hidden="false" outlineLevel="0" max="7" min="7" style="0" width="11"/>
    <col collapsed="false" customWidth="true" hidden="false" outlineLevel="0" max="8" min="8" style="0" width="10"/>
    <col collapsed="false" customWidth="true" hidden="false" outlineLevel="0" max="9" min="9" style="0" width="8"/>
    <col collapsed="false" customWidth="true" hidden="false" outlineLevel="0" max="10" min="10" style="0" width="10"/>
    <col collapsed="false" customWidth="true" hidden="false" outlineLevel="0" max="11" min="11" style="0" width="34"/>
    <col collapsed="false" customWidth="true" hidden="false" outlineLevel="0" max="12" min="12" style="0" width="12"/>
    <col collapsed="false" customWidth="true" hidden="false" outlineLevel="0" max="13" min="13" style="0" width="30"/>
    <col collapsed="false" customWidth="true" hidden="false" outlineLevel="0" max="14" min="14" style="0" width="34"/>
  </cols>
  <sheetData>
    <row r="1" customFormat="false" ht="31.5" hidden="false" customHeight="true" outlineLevel="0" collapsed="false">
      <c r="A1" s="7" t="s">
        <v>281</v>
      </c>
      <c r="B1" s="7" t="s">
        <v>37</v>
      </c>
      <c r="C1" s="7" t="s">
        <v>38</v>
      </c>
      <c r="D1" s="7" t="s">
        <v>282</v>
      </c>
      <c r="E1" s="7" t="s">
        <v>283</v>
      </c>
      <c r="F1" s="7" t="s">
        <v>284</v>
      </c>
      <c r="G1" s="7" t="s">
        <v>285</v>
      </c>
      <c r="H1" s="7" t="s">
        <v>286</v>
      </c>
      <c r="I1" s="7" t="s">
        <v>216</v>
      </c>
      <c r="J1" s="7" t="s">
        <v>242</v>
      </c>
      <c r="K1" s="7" t="s">
        <v>287</v>
      </c>
      <c r="L1" s="7" t="s">
        <v>288</v>
      </c>
      <c r="M1" s="7" t="s">
        <v>289</v>
      </c>
      <c r="N1" s="7" t="s">
        <v>290</v>
      </c>
    </row>
    <row r="2" customFormat="false" ht="23.85" hidden="false" customHeight="false" outlineLevel="0" collapsed="false">
      <c r="A2" s="8" t="s">
        <v>162</v>
      </c>
      <c r="B2" s="8" t="s">
        <v>148</v>
      </c>
      <c r="C2" s="5" t="str">
        <f aca="false">IFERROR(INDEX(Assets!$B$2:$B$19,MATCH(B2,Assets!$A$2:$A$19,0)),"Check asset ID")</f>
        <v>Staff user accounts</v>
      </c>
      <c r="D2" s="5" t="s">
        <v>291</v>
      </c>
      <c r="E2" s="5" t="s">
        <v>292</v>
      </c>
      <c r="F2" s="5" t="s">
        <v>293</v>
      </c>
      <c r="G2" s="9" t="n">
        <v>5</v>
      </c>
      <c r="H2" s="9" t="n">
        <v>4</v>
      </c>
      <c r="I2" s="8" t="n">
        <f aca="false">G2*H2</f>
        <v>20</v>
      </c>
      <c r="J2" s="8" t="str">
        <f aca="false">IF(I2&gt;='Scoring Guide'!$B$24,"Critical",IF(I2&gt;='Scoring Guide'!$B$23,"High",IF(I2&gt;='Scoring Guide'!$B$22,"Medium","Low")))</f>
        <v>Critical</v>
      </c>
      <c r="K2" s="5" t="s">
        <v>294</v>
      </c>
      <c r="L2" s="8" t="s">
        <v>259</v>
      </c>
      <c r="M2" s="5" t="s">
        <v>64</v>
      </c>
      <c r="N2" s="5" t="s">
        <v>295</v>
      </c>
    </row>
    <row r="3" customFormat="false" ht="35.05" hidden="false" customHeight="false" outlineLevel="0" collapsed="false">
      <c r="A3" s="8" t="s">
        <v>169</v>
      </c>
      <c r="B3" s="8" t="s">
        <v>67</v>
      </c>
      <c r="C3" s="5" t="str">
        <f aca="false">IFERROR(INDEX(Assets!$B$2:$B$19,MATCH(B3,Assets!$A$2:$A$19,0)),"Check asset ID")</f>
        <v>Office file server</v>
      </c>
      <c r="D3" s="5" t="s">
        <v>296</v>
      </c>
      <c r="E3" s="5" t="s">
        <v>297</v>
      </c>
      <c r="F3" s="5" t="s">
        <v>298</v>
      </c>
      <c r="G3" s="9" t="n">
        <v>4</v>
      </c>
      <c r="H3" s="9" t="n">
        <v>5</v>
      </c>
      <c r="I3" s="8" t="n">
        <f aca="false">G3*H3</f>
        <v>20</v>
      </c>
      <c r="J3" s="8" t="str">
        <f aca="false">IF(I3&gt;='Scoring Guide'!$B$24,"Critical",IF(I3&gt;='Scoring Guide'!$B$23,"High",IF(I3&gt;='Scoring Guide'!$B$22,"Medium","Low")))</f>
        <v>Critical</v>
      </c>
      <c r="K3" s="5" t="s">
        <v>299</v>
      </c>
      <c r="L3" s="8" t="s">
        <v>259</v>
      </c>
      <c r="M3" s="5" t="s">
        <v>64</v>
      </c>
      <c r="N3" s="5" t="s">
        <v>300</v>
      </c>
    </row>
    <row r="4" customFormat="false" ht="23.85" hidden="false" customHeight="false" outlineLevel="0" collapsed="false">
      <c r="A4" s="8" t="s">
        <v>175</v>
      </c>
      <c r="B4" s="8" t="s">
        <v>86</v>
      </c>
      <c r="C4" s="5" t="str">
        <f aca="false">IFERROR(INDEX(Assets!$B$2:$B$19,MATCH(B4,Assets!$A$2:$A$19,0)),"Check asset ID")</f>
        <v>Cloud backup service</v>
      </c>
      <c r="D4" s="5" t="s">
        <v>301</v>
      </c>
      <c r="E4" s="5" t="s">
        <v>302</v>
      </c>
      <c r="F4" s="5" t="s">
        <v>303</v>
      </c>
      <c r="G4" s="9" t="n">
        <v>3</v>
      </c>
      <c r="H4" s="9" t="n">
        <v>5</v>
      </c>
      <c r="I4" s="8" t="n">
        <f aca="false">G4*H4</f>
        <v>15</v>
      </c>
      <c r="J4" s="8" t="str">
        <f aca="false">IF(I4&gt;='Scoring Guide'!$B$24,"Critical",IF(I4&gt;='Scoring Guide'!$B$23,"High",IF(I4&gt;='Scoring Guide'!$B$22,"Medium","Low")))</f>
        <v>High</v>
      </c>
      <c r="K4" s="5" t="s">
        <v>304</v>
      </c>
      <c r="L4" s="8" t="s">
        <v>259</v>
      </c>
      <c r="M4" s="5" t="s">
        <v>64</v>
      </c>
      <c r="N4" s="5"/>
    </row>
    <row r="5" customFormat="false" ht="35.05" hidden="false" customHeight="false" outlineLevel="0" collapsed="false">
      <c r="A5" s="8" t="s">
        <v>172</v>
      </c>
      <c r="B5" s="8" t="s">
        <v>73</v>
      </c>
      <c r="C5" s="5" t="str">
        <f aca="false">IFERROR(INDEX(Assets!$B$2:$B$19,MATCH(B5,Assets!$A$2:$A$19,0)),"Check asset ID")</f>
        <v>Staff laptops and desktops (about 50)</v>
      </c>
      <c r="D5" s="5" t="s">
        <v>305</v>
      </c>
      <c r="E5" s="5" t="s">
        <v>306</v>
      </c>
      <c r="F5" s="5" t="s">
        <v>307</v>
      </c>
      <c r="G5" s="9" t="n">
        <v>3</v>
      </c>
      <c r="H5" s="9" t="n">
        <v>4</v>
      </c>
      <c r="I5" s="8" t="n">
        <f aca="false">G5*H5</f>
        <v>12</v>
      </c>
      <c r="J5" s="8" t="str">
        <f aca="false">IF(I5&gt;='Scoring Guide'!$B$24,"Critical",IF(I5&gt;='Scoring Guide'!$B$23,"High",IF(I5&gt;='Scoring Guide'!$B$22,"Medium","Low")))</f>
        <v>High</v>
      </c>
      <c r="K5" s="5" t="s">
        <v>308</v>
      </c>
      <c r="L5" s="8" t="s">
        <v>259</v>
      </c>
      <c r="M5" s="5" t="s">
        <v>64</v>
      </c>
      <c r="N5" s="5"/>
    </row>
    <row r="6" customFormat="false" ht="23.85" hidden="false" customHeight="false" outlineLevel="0" collapsed="false">
      <c r="A6" s="8" t="s">
        <v>166</v>
      </c>
      <c r="B6" s="8" t="s">
        <v>79</v>
      </c>
      <c r="C6" s="5" t="str">
        <f aca="false">IFERROR(INDEX(Assets!$B$2:$B$19,MATCH(B6,Assets!$A$2:$A$19,0)),"Check asset ID")</f>
        <v>VPN</v>
      </c>
      <c r="D6" s="5" t="s">
        <v>309</v>
      </c>
      <c r="E6" s="5" t="s">
        <v>310</v>
      </c>
      <c r="F6" s="5" t="s">
        <v>311</v>
      </c>
      <c r="G6" s="9" t="n">
        <v>4</v>
      </c>
      <c r="H6" s="9" t="n">
        <v>4</v>
      </c>
      <c r="I6" s="8" t="n">
        <f aca="false">G6*H6</f>
        <v>16</v>
      </c>
      <c r="J6" s="8" t="str">
        <f aca="false">IF(I6&gt;='Scoring Guide'!$B$24,"Critical",IF(I6&gt;='Scoring Guide'!$B$23,"High",IF(I6&gt;='Scoring Guide'!$B$22,"Medium","Low")))</f>
        <v>High</v>
      </c>
      <c r="K6" s="5" t="s">
        <v>312</v>
      </c>
      <c r="L6" s="8" t="s">
        <v>259</v>
      </c>
      <c r="M6" s="5" t="s">
        <v>64</v>
      </c>
      <c r="N6" s="5"/>
    </row>
    <row r="7" customFormat="false" ht="35.05" hidden="false" customHeight="false" outlineLevel="0" collapsed="false">
      <c r="A7" s="8" t="s">
        <v>184</v>
      </c>
      <c r="B7" s="8" t="s">
        <v>55</v>
      </c>
      <c r="C7" s="5" t="str">
        <f aca="false">IFERROR(INDEX(Assets!$B$2:$B$19,MATCH(B7,Assets!$A$2:$A$19,0)),"Check asset ID")</f>
        <v>Clearinghouse portal</v>
      </c>
      <c r="D7" s="5" t="s">
        <v>313</v>
      </c>
      <c r="E7" s="5" t="s">
        <v>314</v>
      </c>
      <c r="F7" s="5" t="s">
        <v>315</v>
      </c>
      <c r="G7" s="9" t="n">
        <v>3</v>
      </c>
      <c r="H7" s="9" t="n">
        <v>4</v>
      </c>
      <c r="I7" s="8" t="n">
        <f aca="false">G7*H7</f>
        <v>12</v>
      </c>
      <c r="J7" s="8" t="str">
        <f aca="false">IF(I7&gt;='Scoring Guide'!$B$24,"Critical",IF(I7&gt;='Scoring Guide'!$B$23,"High",IF(I7&gt;='Scoring Guide'!$B$22,"Medium","Low")))</f>
        <v>High</v>
      </c>
      <c r="K7" s="5" t="s">
        <v>316</v>
      </c>
      <c r="L7" s="8" t="s">
        <v>259</v>
      </c>
      <c r="M7" s="5" t="s">
        <v>59</v>
      </c>
      <c r="N7" s="5"/>
    </row>
    <row r="8" customFormat="false" ht="23.85" hidden="false" customHeight="false" outlineLevel="0" collapsed="false">
      <c r="A8" s="8" t="s">
        <v>192</v>
      </c>
      <c r="B8" s="8" t="s">
        <v>148</v>
      </c>
      <c r="C8" s="5" t="str">
        <f aca="false">IFERROR(INDEX(Assets!$B$2:$B$19,MATCH(B8,Assets!$A$2:$A$19,0)),"Check asset ID")</f>
        <v>Staff user accounts</v>
      </c>
      <c r="D8" s="5" t="s">
        <v>317</v>
      </c>
      <c r="E8" s="5" t="s">
        <v>318</v>
      </c>
      <c r="F8" s="5" t="s">
        <v>319</v>
      </c>
      <c r="G8" s="9" t="n">
        <v>3</v>
      </c>
      <c r="H8" s="9" t="n">
        <v>4</v>
      </c>
      <c r="I8" s="8" t="n">
        <f aca="false">G8*H8</f>
        <v>12</v>
      </c>
      <c r="J8" s="8" t="str">
        <f aca="false">IF(I8&gt;='Scoring Guide'!$B$24,"Critical",IF(I8&gt;='Scoring Guide'!$B$23,"High",IF(I8&gt;='Scoring Guide'!$B$22,"Medium","Low")))</f>
        <v>High</v>
      </c>
      <c r="K8" s="5" t="s">
        <v>320</v>
      </c>
      <c r="L8" s="8" t="s">
        <v>259</v>
      </c>
      <c r="M8" s="5" t="s">
        <v>125</v>
      </c>
      <c r="N8" s="5" t="s">
        <v>321</v>
      </c>
    </row>
    <row r="9" customFormat="false" ht="23.85" hidden="false" customHeight="false" outlineLevel="0" collapsed="false">
      <c r="A9" s="8" t="s">
        <v>189</v>
      </c>
      <c r="B9" s="8" t="s">
        <v>132</v>
      </c>
      <c r="C9" s="5" t="str">
        <f aca="false">IFERROR(INDEX(Assets!$B$2:$B$19,MATCH(B9,Assets!$A$2:$A$19,0)),"Check asset ID")</f>
        <v>Outside IT help desk</v>
      </c>
      <c r="D9" s="5" t="s">
        <v>322</v>
      </c>
      <c r="E9" s="5" t="s">
        <v>323</v>
      </c>
      <c r="F9" s="5" t="s">
        <v>324</v>
      </c>
      <c r="G9" s="9" t="n">
        <v>2</v>
      </c>
      <c r="H9" s="9" t="n">
        <v>5</v>
      </c>
      <c r="I9" s="8" t="n">
        <f aca="false">G9*H9</f>
        <v>10</v>
      </c>
      <c r="J9" s="8" t="str">
        <f aca="false">IF(I9&gt;='Scoring Guide'!$B$24,"Critical",IF(I9&gt;='Scoring Guide'!$B$23,"High",IF(I9&gt;='Scoring Guide'!$B$22,"Medium","Low")))</f>
        <v>High</v>
      </c>
      <c r="K9" s="5" t="s">
        <v>325</v>
      </c>
      <c r="L9" s="8" t="s">
        <v>259</v>
      </c>
      <c r="M9" s="5" t="s">
        <v>326</v>
      </c>
      <c r="N9" s="5"/>
    </row>
    <row r="10" customFormat="false" ht="23.85" hidden="false" customHeight="false" outlineLevel="0" collapsed="false">
      <c r="A10" s="8" t="s">
        <v>195</v>
      </c>
      <c r="B10" s="8" t="s">
        <v>60</v>
      </c>
      <c r="C10" s="5" t="str">
        <f aca="false">IFERROR(INDEX(Assets!$B$2:$B$19,MATCH(B10,Assets!$A$2:$A$19,0)),"Check asset ID")</f>
        <v>Microsoft 365 tenant</v>
      </c>
      <c r="D10" s="5" t="s">
        <v>327</v>
      </c>
      <c r="E10" s="5" t="s">
        <v>328</v>
      </c>
      <c r="F10" s="5" t="s">
        <v>329</v>
      </c>
      <c r="G10" s="9" t="n">
        <v>3</v>
      </c>
      <c r="H10" s="9" t="n">
        <v>3</v>
      </c>
      <c r="I10" s="8" t="n">
        <f aca="false">G10*H10</f>
        <v>9</v>
      </c>
      <c r="J10" s="8" t="str">
        <f aca="false">IF(I10&gt;='Scoring Guide'!$B$24,"Critical",IF(I10&gt;='Scoring Guide'!$B$23,"High",IF(I10&gt;='Scoring Guide'!$B$22,"Medium","Low")))</f>
        <v>Medium</v>
      </c>
      <c r="K10" s="5" t="s">
        <v>330</v>
      </c>
      <c r="L10" s="8" t="s">
        <v>259</v>
      </c>
      <c r="M10" s="5" t="s">
        <v>64</v>
      </c>
      <c r="N10" s="5"/>
    </row>
    <row r="11" customFormat="false" ht="23.85" hidden="false" customHeight="false" outlineLevel="0" collapsed="false">
      <c r="A11" s="8" t="s">
        <v>178</v>
      </c>
      <c r="B11" s="8" t="s">
        <v>47</v>
      </c>
      <c r="C11" s="5" t="str">
        <f aca="false">IFERROR(INDEX(Assets!$B$2:$B$19,MATCH(B11,Assets!$A$2:$A$19,0)),"Check asset ID")</f>
        <v>Practice management and billing platform</v>
      </c>
      <c r="D11" s="5" t="s">
        <v>331</v>
      </c>
      <c r="E11" s="5" t="s">
        <v>332</v>
      </c>
      <c r="F11" s="5" t="s">
        <v>333</v>
      </c>
      <c r="G11" s="9" t="n">
        <v>3</v>
      </c>
      <c r="H11" s="9" t="n">
        <v>4</v>
      </c>
      <c r="I11" s="8" t="n">
        <f aca="false">G11*H11</f>
        <v>12</v>
      </c>
      <c r="J11" s="8" t="str">
        <f aca="false">IF(I11&gt;='Scoring Guide'!$B$24,"Critical",IF(I11&gt;='Scoring Guide'!$B$23,"High",IF(I11&gt;='Scoring Guide'!$B$22,"Medium","Low")))</f>
        <v>High</v>
      </c>
      <c r="K11" s="5" t="s">
        <v>334</v>
      </c>
      <c r="L11" s="8" t="s">
        <v>259</v>
      </c>
      <c r="M11" s="5" t="s">
        <v>326</v>
      </c>
      <c r="N11" s="5"/>
    </row>
    <row r="12" customFormat="false" ht="23.85" hidden="false" customHeight="false" outlineLevel="0" collapsed="false">
      <c r="A12" s="8" t="s">
        <v>204</v>
      </c>
      <c r="B12" s="8" t="s">
        <v>138</v>
      </c>
      <c r="C12" s="5" t="str">
        <f aca="false">IFERROR(INDEX(Assets!$B$2:$B$19,MATCH(B12,Assets!$A$2:$A$19,0)),"Check asset ID")</f>
        <v>Payment processor</v>
      </c>
      <c r="D12" s="5" t="s">
        <v>335</v>
      </c>
      <c r="E12" s="5" t="s">
        <v>336</v>
      </c>
      <c r="F12" s="5" t="s">
        <v>337</v>
      </c>
      <c r="G12" s="9" t="n">
        <v>2</v>
      </c>
      <c r="H12" s="9" t="n">
        <v>4</v>
      </c>
      <c r="I12" s="8" t="n">
        <f aca="false">G12*H12</f>
        <v>8</v>
      </c>
      <c r="J12" s="8" t="str">
        <f aca="false">IF(I12&gt;='Scoring Guide'!$B$24,"Critical",IF(I12&gt;='Scoring Guide'!$B$23,"High",IF(I12&gt;='Scoring Guide'!$B$22,"Medium","Low")))</f>
        <v>Medium</v>
      </c>
      <c r="K12" s="5" t="s">
        <v>338</v>
      </c>
      <c r="L12" s="8" t="s">
        <v>259</v>
      </c>
      <c r="M12" s="5" t="s">
        <v>105</v>
      </c>
      <c r="N12" s="5"/>
    </row>
    <row r="13" customFormat="false" ht="23.85" hidden="false" customHeight="false" outlineLevel="0" collapsed="false">
      <c r="A13" s="8" t="s">
        <v>198</v>
      </c>
      <c r="B13" s="8" t="s">
        <v>96</v>
      </c>
      <c r="C13" s="5" t="str">
        <f aca="false">IFERROR(INDEX(Assets!$B$2:$B$19,MATCH(B13,Assets!$A$2:$A$19,0)),"Check asset ID")</f>
        <v>Accounting and payroll software</v>
      </c>
      <c r="D13" s="5" t="s">
        <v>339</v>
      </c>
      <c r="E13" s="5" t="s">
        <v>340</v>
      </c>
      <c r="F13" s="5" t="s">
        <v>341</v>
      </c>
      <c r="G13" s="9" t="n">
        <v>3</v>
      </c>
      <c r="H13" s="9" t="n">
        <v>3</v>
      </c>
      <c r="I13" s="8" t="n">
        <f aca="false">G13*H13</f>
        <v>9</v>
      </c>
      <c r="J13" s="8" t="str">
        <f aca="false">IF(I13&gt;='Scoring Guide'!$B$24,"Critical",IF(I13&gt;='Scoring Guide'!$B$23,"High",IF(I13&gt;='Scoring Guide'!$B$22,"Medium","Low")))</f>
        <v>Medium</v>
      </c>
      <c r="K13" s="5" t="s">
        <v>342</v>
      </c>
      <c r="L13" s="8" t="s">
        <v>259</v>
      </c>
      <c r="M13" s="5" t="s">
        <v>99</v>
      </c>
      <c r="N13" s="5"/>
    </row>
    <row r="14" customFormat="false" ht="23.85" hidden="false" customHeight="false" outlineLevel="0" collapsed="false">
      <c r="A14" s="8" t="s">
        <v>201</v>
      </c>
      <c r="B14" s="8" t="s">
        <v>128</v>
      </c>
      <c r="C14" s="5" t="str">
        <f aca="false">IFERROR(INDEX(Assets!$B$2:$B$19,MATCH(B14,Assets!$A$2:$A$19,0)),"Check asset ID")</f>
        <v>Printed claim documents and patient statements</v>
      </c>
      <c r="D14" s="5" t="s">
        <v>343</v>
      </c>
      <c r="E14" s="5" t="s">
        <v>344</v>
      </c>
      <c r="F14" s="5" t="s">
        <v>345</v>
      </c>
      <c r="G14" s="9" t="n">
        <v>2</v>
      </c>
      <c r="H14" s="9" t="n">
        <v>3</v>
      </c>
      <c r="I14" s="8" t="n">
        <f aca="false">G14*H14</f>
        <v>6</v>
      </c>
      <c r="J14" s="8" t="str">
        <f aca="false">IF(I14&gt;='Scoring Guide'!$B$24,"Critical",IF(I14&gt;='Scoring Guide'!$B$23,"High",IF(I14&gt;='Scoring Guide'!$B$22,"Medium","Low")))</f>
        <v>Medium</v>
      </c>
      <c r="K14" s="5" t="s">
        <v>346</v>
      </c>
      <c r="L14" s="8" t="s">
        <v>259</v>
      </c>
      <c r="M14" s="5" t="s">
        <v>51</v>
      </c>
      <c r="N14" s="5"/>
    </row>
    <row r="15" customFormat="false" ht="23.85" hidden="false" customHeight="false" outlineLevel="0" collapsed="false">
      <c r="A15" s="8" t="s">
        <v>347</v>
      </c>
      <c r="B15" s="8" t="s">
        <v>148</v>
      </c>
      <c r="C15" s="5" t="str">
        <f aca="false">IFERROR(INDEX(Assets!$B$2:$B$19,MATCH(B15,Assets!$A$2:$A$19,0)),"Check asset ID")</f>
        <v>Staff user accounts</v>
      </c>
      <c r="D15" s="5" t="s">
        <v>348</v>
      </c>
      <c r="E15" s="5" t="s">
        <v>349</v>
      </c>
      <c r="F15" s="5" t="s">
        <v>350</v>
      </c>
      <c r="G15" s="9" t="n">
        <v>3</v>
      </c>
      <c r="H15" s="9" t="n">
        <v>2</v>
      </c>
      <c r="I15" s="8" t="n">
        <f aca="false">G15*H15</f>
        <v>6</v>
      </c>
      <c r="J15" s="8" t="str">
        <f aca="false">IF(I15&gt;='Scoring Guide'!$B$24,"Critical",IF(I15&gt;='Scoring Guide'!$B$23,"High",IF(I15&gt;='Scoring Guide'!$B$22,"Medium","Low")))</f>
        <v>Medium</v>
      </c>
      <c r="K15" s="5" t="s">
        <v>351</v>
      </c>
      <c r="L15" s="8" t="s">
        <v>259</v>
      </c>
      <c r="M15" s="5" t="s">
        <v>326</v>
      </c>
      <c r="N15" s="5" t="s">
        <v>352</v>
      </c>
    </row>
    <row r="16" customFormat="false" ht="35.05" hidden="false" customHeight="false" outlineLevel="0" collapsed="false">
      <c r="A16" s="8" t="s">
        <v>207</v>
      </c>
      <c r="B16" s="8" t="s">
        <v>115</v>
      </c>
      <c r="C16" s="5" t="str">
        <f aca="false">IFERROR(INDEX(Assets!$B$2:$B$19,MATCH(B16,Assets!$A$2:$A$19,0)),"Check asset ID")</f>
        <v>Client contracts and pricing</v>
      </c>
      <c r="D16" s="5" t="s">
        <v>353</v>
      </c>
      <c r="E16" s="5" t="s">
        <v>354</v>
      </c>
      <c r="F16" s="5" t="s">
        <v>355</v>
      </c>
      <c r="G16" s="9" t="n">
        <v>2</v>
      </c>
      <c r="H16" s="9" t="n">
        <v>2</v>
      </c>
      <c r="I16" s="8" t="n">
        <f aca="false">G16*H16</f>
        <v>4</v>
      </c>
      <c r="J16" s="8" t="str">
        <f aca="false">IF(I16&gt;='Scoring Guide'!$B$24,"Critical",IF(I16&gt;='Scoring Guide'!$B$23,"High",IF(I16&gt;='Scoring Guide'!$B$22,"Medium","Low")))</f>
        <v>Low</v>
      </c>
      <c r="K16" s="5" t="s">
        <v>356</v>
      </c>
      <c r="L16" s="8" t="s">
        <v>261</v>
      </c>
      <c r="M16" s="5" t="s">
        <v>119</v>
      </c>
      <c r="N16" s="5" t="s">
        <v>357</v>
      </c>
    </row>
  </sheetData>
  <autoFilter ref="A1:N16"/>
  <conditionalFormatting sqref="J2:J16">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11">
      <formula>"Low"</formula>
    </cfRule>
  </conditionalFormatting>
  <dataValidations count="3">
    <dataValidation allowBlank="false" error="Enter a whole number from 1 to 5." errorStyle="stop" errorTitle="Score" operator="between" showDropDown="false" showErrorMessage="true" showInputMessage="false" sqref="G2:H16" type="whole">
      <formula1>1</formula1>
      <formula2>5</formula2>
    </dataValidation>
    <dataValidation allowBlank="false" errorStyle="stop" operator="between" showDropDown="false" showErrorMessage="true" showInputMessage="false" sqref="L2:L16" type="list">
      <formula1>"Mitigate,Accept,Transfer,Avoid"</formula1>
      <formula2>0</formula2>
    </dataValidation>
    <dataValidation allowBlank="false" error="Pick an Asset ID from the Assets tab." errorStyle="stop" errorTitle="Asset ID" operator="between" showDropDown="false" showErrorMessage="true" showInputMessage="false" sqref="B2:B16" type="list">
      <formula1>Assets!$A$2:$A$19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7" min="3" style="0" width="11"/>
    <col collapsed="false" customWidth="true" hidden="false" outlineLevel="0" max="8" min="8" style="0" width="4"/>
    <col collapsed="false" customWidth="true" hidden="false" outlineLevel="0" max="9" min="9" style="0" width="34"/>
    <col collapsed="false" customWidth="true" hidden="false" outlineLevel="0" max="10" min="10" style="0" width="10"/>
  </cols>
  <sheetData>
    <row r="1" customFormat="false" ht="17.35" hidden="false" customHeight="false" outlineLevel="0" collapsed="false">
      <c r="A1" s="1" t="s">
        <v>358</v>
      </c>
    </row>
    <row r="3" customFormat="false" ht="15" hidden="false" customHeight="false" outlineLevel="0" collapsed="false">
      <c r="A3" s="3" t="s">
        <v>359</v>
      </c>
      <c r="I3" s="3" t="s">
        <v>360</v>
      </c>
    </row>
    <row r="4" customFormat="false" ht="15" hidden="false" customHeight="false" outlineLevel="0" collapsed="false">
      <c r="A4" s="12" t="s">
        <v>242</v>
      </c>
      <c r="B4" s="12" t="s">
        <v>361</v>
      </c>
      <c r="C4" s="12" t="s">
        <v>362</v>
      </c>
      <c r="I4" s="13" t="s">
        <v>253</v>
      </c>
      <c r="J4" s="14" t="n">
        <f aca="false">'Scoring Guide'!$B$24</f>
        <v>17</v>
      </c>
    </row>
    <row r="5" customFormat="false" ht="15" hidden="false" customHeight="false" outlineLevel="0" collapsed="false">
      <c r="A5" s="15" t="s">
        <v>253</v>
      </c>
      <c r="B5" s="13" t="n">
        <f aca="false">COUNTIF('Risk Register'!$J$2:$J$16,A5)</f>
        <v>2</v>
      </c>
      <c r="C5" s="16" t="n">
        <f aca="false">IF($B$9=0,0,B5/$B$9)</f>
        <v>0.133333333333333</v>
      </c>
      <c r="I5" s="13" t="s">
        <v>250</v>
      </c>
      <c r="J5" s="14" t="n">
        <f aca="false">'Scoring Guide'!$B$23</f>
        <v>10</v>
      </c>
    </row>
    <row r="6" customFormat="false" ht="15" hidden="false" customHeight="false" outlineLevel="0" collapsed="false">
      <c r="A6" s="17" t="s">
        <v>250</v>
      </c>
      <c r="B6" s="13" t="n">
        <f aca="false">COUNTIF('Risk Register'!$J$2:$J$16,A6)</f>
        <v>7</v>
      </c>
      <c r="C6" s="16" t="n">
        <f aca="false">IF($B$9=0,0,B6/$B$9)</f>
        <v>0.466666666666667</v>
      </c>
      <c r="I6" s="13" t="s">
        <v>247</v>
      </c>
      <c r="J6" s="14" t="n">
        <f aca="false">'Scoring Guide'!$B$22</f>
        <v>5</v>
      </c>
    </row>
    <row r="7" customFormat="false" ht="15" hidden="false" customHeight="false" outlineLevel="0" collapsed="false">
      <c r="A7" s="18" t="s">
        <v>247</v>
      </c>
      <c r="B7" s="13" t="n">
        <f aca="false">COUNTIF('Risk Register'!$J$2:$J$16,A7)</f>
        <v>5</v>
      </c>
      <c r="C7" s="16" t="n">
        <f aca="false">IF($B$9=0,0,B7/$B$9)</f>
        <v>0.333333333333333</v>
      </c>
    </row>
    <row r="8" customFormat="false" ht="15" hidden="false" customHeight="false" outlineLevel="0" collapsed="false">
      <c r="A8" s="19" t="s">
        <v>244</v>
      </c>
      <c r="B8" s="13" t="n">
        <f aca="false">COUNTIF('Risk Register'!$J$2:$J$16,A8)</f>
        <v>1</v>
      </c>
      <c r="C8" s="16" t="n">
        <f aca="false">IF($B$9=0,0,B8/$B$9)</f>
        <v>0.0666666666666667</v>
      </c>
    </row>
    <row r="9" customFormat="false" ht="15" hidden="false" customHeight="false" outlineLevel="0" collapsed="false">
      <c r="A9" s="20" t="s">
        <v>363</v>
      </c>
      <c r="B9" s="20" t="n">
        <f aca="false">SUM(B5:B8)</f>
        <v>15</v>
      </c>
      <c r="C9" s="21" t="n">
        <f aca="false">SUM(C5:C8)</f>
        <v>1</v>
      </c>
    </row>
    <row r="11" customFormat="false" ht="15" hidden="false" customHeight="false" outlineLevel="0" collapsed="false">
      <c r="A11" s="3" t="s">
        <v>364</v>
      </c>
    </row>
    <row r="12" customFormat="false" ht="15" hidden="false" customHeight="false" outlineLevel="0" collapsed="false">
      <c r="A12" s="13" t="s">
        <v>365</v>
      </c>
      <c r="B12" s="22" t="n">
        <f aca="false">COUNTA('Risk Register'!$A$2:$A$16)</f>
        <v>15</v>
      </c>
    </row>
    <row r="13" customFormat="false" ht="15" hidden="false" customHeight="false" outlineLevel="0" collapsed="false">
      <c r="A13" s="13" t="s">
        <v>366</v>
      </c>
      <c r="B13" s="23" t="n">
        <f aca="false">AVERAGE('Risk Register'!$I$2:$I$16)</f>
        <v>11.4</v>
      </c>
    </row>
    <row r="14" customFormat="false" ht="15" hidden="false" customHeight="false" outlineLevel="0" collapsed="false">
      <c r="A14" s="13" t="s">
        <v>367</v>
      </c>
      <c r="B14" s="22" t="n">
        <f aca="false">MAX('Risk Register'!$I$2:$I$16)</f>
        <v>20</v>
      </c>
    </row>
    <row r="15" customFormat="false" ht="15" hidden="false" customHeight="false" outlineLevel="0" collapsed="false">
      <c r="A15" s="13" t="s">
        <v>368</v>
      </c>
      <c r="B15" s="22" t="n">
        <f aca="false">COUNTA(Assets!$A$2:$A$19)</f>
        <v>18</v>
      </c>
    </row>
    <row r="16" customFormat="false" ht="15" hidden="false" customHeight="false" outlineLevel="0" collapsed="false">
      <c r="A16" s="13" t="s">
        <v>369</v>
      </c>
      <c r="B16" s="22" t="n">
        <f aca="false">COUNTIF(Assets!$G$2:$G$19,"Restricted")</f>
        <v>15</v>
      </c>
    </row>
    <row r="17" customFormat="false" ht="15" hidden="false" customHeight="false" outlineLevel="0" collapsed="false">
      <c r="A17" s="13" t="s">
        <v>370</v>
      </c>
      <c r="B17" s="22" t="n">
        <f aca="false">COUNTIF(Assets!$J$2:$J$19,0)</f>
        <v>5</v>
      </c>
    </row>
    <row r="19" customFormat="false" ht="15" hidden="false" customHeight="false" outlineLevel="0" collapsed="false">
      <c r="A19" s="3" t="s">
        <v>371</v>
      </c>
    </row>
    <row r="20" customFormat="false" ht="15" hidden="false" customHeight="false" outlineLevel="0" collapsed="false">
      <c r="A20" s="12" t="s">
        <v>288</v>
      </c>
      <c r="B20" s="12" t="s">
        <v>361</v>
      </c>
    </row>
    <row r="21" customFormat="false" ht="15" hidden="false" customHeight="false" outlineLevel="0" collapsed="false">
      <c r="A21" s="13" t="s">
        <v>259</v>
      </c>
      <c r="B21" s="13" t="n">
        <f aca="false">COUNTIF('Risk Register'!$L$2:$L$16,A21)</f>
        <v>14</v>
      </c>
    </row>
    <row r="22" customFormat="false" ht="15" hidden="false" customHeight="false" outlineLevel="0" collapsed="false">
      <c r="A22" s="13" t="s">
        <v>261</v>
      </c>
      <c r="B22" s="13" t="n">
        <f aca="false">COUNTIF('Risk Register'!$L$2:$L$16,A22)</f>
        <v>1</v>
      </c>
    </row>
    <row r="23" customFormat="false" ht="15" hidden="false" customHeight="false" outlineLevel="0" collapsed="false">
      <c r="A23" s="13" t="s">
        <v>263</v>
      </c>
      <c r="B23" s="13" t="n">
        <f aca="false">COUNTIF('Risk Register'!$L$2:$L$16,A23)</f>
        <v>0</v>
      </c>
    </row>
    <row r="24" customFormat="false" ht="15" hidden="false" customHeight="false" outlineLevel="0" collapsed="false">
      <c r="A24" s="13" t="s">
        <v>265</v>
      </c>
      <c r="B24" s="13" t="n">
        <f aca="false">COUNTIF('Risk Register'!$L$2:$L$16,A24)</f>
        <v>0</v>
      </c>
    </row>
    <row r="27" customFormat="false" ht="15" hidden="false" customHeight="false" outlineLevel="0" collapsed="false">
      <c r="A27" s="3" t="s">
        <v>372</v>
      </c>
    </row>
    <row r="28" customFormat="false" ht="15" hidden="false" customHeight="false" outlineLevel="0" collapsed="false">
      <c r="C28" s="24" t="s">
        <v>373</v>
      </c>
      <c r="D28" s="24"/>
      <c r="E28" s="24"/>
      <c r="F28" s="24"/>
      <c r="G28" s="24"/>
    </row>
    <row r="29" customFormat="false" ht="15" hidden="false" customHeight="false" outlineLevel="0" collapsed="false">
      <c r="A29" s="25" t="s">
        <v>374</v>
      </c>
      <c r="B29" s="25" t="s">
        <v>216</v>
      </c>
      <c r="C29" s="12" t="n">
        <v>1</v>
      </c>
      <c r="D29" s="12" t="n">
        <v>2</v>
      </c>
      <c r="E29" s="12" t="n">
        <v>3</v>
      </c>
      <c r="F29" s="12" t="n">
        <v>4</v>
      </c>
      <c r="G29" s="12" t="n">
        <v>5</v>
      </c>
    </row>
    <row r="30" customFormat="false" ht="24" hidden="false" customHeight="true" outlineLevel="0" collapsed="false">
      <c r="A30" s="26" t="s">
        <v>239</v>
      </c>
      <c r="B30" s="27" t="n">
        <v>5</v>
      </c>
      <c r="C30" s="28" t="n">
        <f aca="false">COUNTIFS('Risk Register'!$G$2:$G$16,C$29,'Risk Register'!$H$2:$H$16,$B30)</f>
        <v>0</v>
      </c>
      <c r="D30" s="28" t="n">
        <f aca="false">COUNTIFS('Risk Register'!$G$2:$G$16,D$29,'Risk Register'!$H$2:$H$16,$B30)</f>
        <v>1</v>
      </c>
      <c r="E30" s="28" t="n">
        <f aca="false">COUNTIFS('Risk Register'!$G$2:$G$16,E$29,'Risk Register'!$H$2:$H$16,$B30)</f>
        <v>1</v>
      </c>
      <c r="F30" s="28" t="n">
        <f aca="false">COUNTIFS('Risk Register'!$G$2:$G$16,F$29,'Risk Register'!$H$2:$H$16,$B30)</f>
        <v>1</v>
      </c>
      <c r="G30" s="28" t="n">
        <f aca="false">COUNTIFS('Risk Register'!$G$2:$G$16,G$29,'Risk Register'!$H$2:$H$16,$B30)</f>
        <v>0</v>
      </c>
    </row>
    <row r="31" customFormat="false" ht="24" hidden="false" customHeight="true" outlineLevel="0" collapsed="false">
      <c r="A31" s="26" t="s">
        <v>237</v>
      </c>
      <c r="B31" s="27" t="n">
        <v>4</v>
      </c>
      <c r="C31" s="28" t="n">
        <f aca="false">COUNTIFS('Risk Register'!$G$2:$G$16,C$29,'Risk Register'!$H$2:$H$16,$B31)</f>
        <v>0</v>
      </c>
      <c r="D31" s="28" t="n">
        <f aca="false">COUNTIFS('Risk Register'!$G$2:$G$16,D$29,'Risk Register'!$H$2:$H$16,$B31)</f>
        <v>1</v>
      </c>
      <c r="E31" s="28" t="n">
        <f aca="false">COUNTIFS('Risk Register'!$G$2:$G$16,E$29,'Risk Register'!$H$2:$H$16,$B31)</f>
        <v>4</v>
      </c>
      <c r="F31" s="28" t="n">
        <f aca="false">COUNTIFS('Risk Register'!$G$2:$G$16,F$29,'Risk Register'!$H$2:$H$16,$B31)</f>
        <v>1</v>
      </c>
      <c r="G31" s="28" t="n">
        <f aca="false">COUNTIFS('Risk Register'!$G$2:$G$16,G$29,'Risk Register'!$H$2:$H$16,$B31)</f>
        <v>1</v>
      </c>
    </row>
    <row r="32" customFormat="false" ht="24" hidden="false" customHeight="true" outlineLevel="0" collapsed="false">
      <c r="A32" s="26" t="s">
        <v>235</v>
      </c>
      <c r="B32" s="27" t="n">
        <v>3</v>
      </c>
      <c r="C32" s="28" t="n">
        <f aca="false">COUNTIFS('Risk Register'!$G$2:$G$16,C$29,'Risk Register'!$H$2:$H$16,$B32)</f>
        <v>0</v>
      </c>
      <c r="D32" s="28" t="n">
        <f aca="false">COUNTIFS('Risk Register'!$G$2:$G$16,D$29,'Risk Register'!$H$2:$H$16,$B32)</f>
        <v>1</v>
      </c>
      <c r="E32" s="28" t="n">
        <f aca="false">COUNTIFS('Risk Register'!$G$2:$G$16,E$29,'Risk Register'!$H$2:$H$16,$B32)</f>
        <v>2</v>
      </c>
      <c r="F32" s="28" t="n">
        <f aca="false">COUNTIFS('Risk Register'!$G$2:$G$16,F$29,'Risk Register'!$H$2:$H$16,$B32)</f>
        <v>0</v>
      </c>
      <c r="G32" s="28" t="n">
        <f aca="false">COUNTIFS('Risk Register'!$G$2:$G$16,G$29,'Risk Register'!$H$2:$H$16,$B32)</f>
        <v>0</v>
      </c>
    </row>
    <row r="33" customFormat="false" ht="24" hidden="false" customHeight="true" outlineLevel="0" collapsed="false">
      <c r="A33" s="26" t="s">
        <v>233</v>
      </c>
      <c r="B33" s="27" t="n">
        <v>2</v>
      </c>
      <c r="C33" s="28" t="n">
        <f aca="false">COUNTIFS('Risk Register'!$G$2:$G$16,C$29,'Risk Register'!$H$2:$H$16,$B33)</f>
        <v>0</v>
      </c>
      <c r="D33" s="28" t="n">
        <f aca="false">COUNTIFS('Risk Register'!$G$2:$G$16,D$29,'Risk Register'!$H$2:$H$16,$B33)</f>
        <v>1</v>
      </c>
      <c r="E33" s="28" t="n">
        <f aca="false">COUNTIFS('Risk Register'!$G$2:$G$16,E$29,'Risk Register'!$H$2:$H$16,$B33)</f>
        <v>1</v>
      </c>
      <c r="F33" s="28" t="n">
        <f aca="false">COUNTIFS('Risk Register'!$G$2:$G$16,F$29,'Risk Register'!$H$2:$H$16,$B33)</f>
        <v>0</v>
      </c>
      <c r="G33" s="28" t="n">
        <f aca="false">COUNTIFS('Risk Register'!$G$2:$G$16,G$29,'Risk Register'!$H$2:$H$16,$B33)</f>
        <v>0</v>
      </c>
    </row>
    <row r="34" customFormat="false" ht="24" hidden="false" customHeight="true" outlineLevel="0" collapsed="false">
      <c r="A34" s="26" t="s">
        <v>231</v>
      </c>
      <c r="B34" s="27" t="n">
        <v>1</v>
      </c>
      <c r="C34" s="28" t="n">
        <f aca="false">COUNTIFS('Risk Register'!$G$2:$G$16,C$29,'Risk Register'!$H$2:$H$16,$B34)</f>
        <v>0</v>
      </c>
      <c r="D34" s="28" t="n">
        <f aca="false">COUNTIFS('Risk Register'!$G$2:$G$16,D$29,'Risk Register'!$H$2:$H$16,$B34)</f>
        <v>0</v>
      </c>
      <c r="E34" s="28" t="n">
        <f aca="false">COUNTIFS('Risk Register'!$G$2:$G$16,E$29,'Risk Register'!$H$2:$H$16,$B34)</f>
        <v>0</v>
      </c>
      <c r="F34" s="28" t="n">
        <f aca="false">COUNTIFS('Risk Register'!$G$2:$G$16,F$29,'Risk Register'!$H$2:$H$16,$B34)</f>
        <v>0</v>
      </c>
      <c r="G34" s="28" t="n">
        <f aca="false">COUNTIFS('Risk Register'!$G$2:$G$16,G$29,'Risk Register'!$H$2:$H$16,$B34)</f>
        <v>0</v>
      </c>
    </row>
    <row r="36" customFormat="false" ht="15" hidden="false" customHeight="false" outlineLevel="0" collapsed="false">
      <c r="A36" s="2" t="s">
        <v>375</v>
      </c>
    </row>
  </sheetData>
  <mergeCells count="1">
    <mergeCell ref="C28:G28"/>
  </mergeCells>
  <conditionalFormatting sqref="C30:G34">
    <cfRule type="expression" priority="2" aboveAverage="0" equalAverage="0" bottom="0" percent="0" rank="0" text="" dxfId="8">
      <formula>C$29*$B30&gt;=$J$4</formula>
    </cfRule>
    <cfRule type="expression" priority="3" aboveAverage="0" equalAverage="0" bottom="0" percent="0" rank="0" text="" dxfId="9">
      <formula>C$29*$B30&gt;=$J$5</formula>
    </cfRule>
    <cfRule type="expression" priority="4" aboveAverage="0" equalAverage="0" bottom="0" percent="0" rank="0" text="" dxfId="10">
      <formula>C$29*$B30&gt;=$J$6</formula>
    </cfRule>
    <cfRule type="expression" priority="5" aboveAverage="0" equalAverage="0" bottom="0" percent="0" rank="0" text="" dxfId="11">
      <formula>C$29*$B30&gt;=1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15"/>
    <col collapsed="false" customWidth="true" hidden="false" outlineLevel="0" max="4" min="4" style="0" width="46"/>
    <col collapsed="false" customWidth="true" hidden="false" outlineLevel="0" max="5" min="5" style="0" width="14"/>
    <col collapsed="false" customWidth="true" hidden="false" outlineLevel="0" max="6" min="6" style="0" width="58"/>
    <col collapsed="false" customWidth="true" hidden="false" outlineLevel="0" max="7" min="7" style="0" width="14"/>
    <col collapsed="false" customWidth="true" hidden="false" outlineLevel="0" max="8" min="8" style="0" width="3"/>
    <col collapsed="false" customWidth="true" hidden="false" outlineLevel="0" max="9" min="9" style="0" width="12"/>
    <col collapsed="false" customWidth="true" hidden="false" outlineLevel="0" max="10" min="10" style="0" width="13"/>
    <col collapsed="false" customWidth="true" hidden="false" outlineLevel="0" max="13" min="11" style="0" width="9"/>
  </cols>
  <sheetData>
    <row r="1" customFormat="false" ht="17.35" hidden="false" customHeight="false" outlineLevel="0" collapsed="false">
      <c r="A1" s="1" t="s">
        <v>376</v>
      </c>
    </row>
    <row r="2" customFormat="false" ht="15" hidden="false" customHeight="false" outlineLevel="0" collapsed="false">
      <c r="A2" s="2" t="s">
        <v>377</v>
      </c>
      <c r="I2" s="3" t="s">
        <v>378</v>
      </c>
    </row>
    <row r="3" customFormat="false" ht="30" hidden="false" customHeight="true" outlineLevel="0" collapsed="false">
      <c r="A3" s="7" t="s">
        <v>379</v>
      </c>
      <c r="B3" s="7" t="s">
        <v>380</v>
      </c>
      <c r="C3" s="7" t="s">
        <v>381</v>
      </c>
      <c r="D3" s="7" t="s">
        <v>382</v>
      </c>
      <c r="E3" s="7" t="s">
        <v>6</v>
      </c>
      <c r="F3" s="7" t="s">
        <v>383</v>
      </c>
      <c r="G3" s="7" t="s">
        <v>384</v>
      </c>
      <c r="I3" s="7" t="s">
        <v>379</v>
      </c>
      <c r="J3" s="7" t="s">
        <v>385</v>
      </c>
      <c r="K3" s="7" t="s">
        <v>386</v>
      </c>
      <c r="L3" s="7" t="s">
        <v>387</v>
      </c>
      <c r="M3" s="7" t="s">
        <v>363</v>
      </c>
    </row>
    <row r="4" customFormat="false" ht="23.85" hidden="false" customHeight="false" outlineLevel="0" collapsed="false">
      <c r="A4" s="8" t="s">
        <v>388</v>
      </c>
      <c r="B4" s="8" t="s">
        <v>389</v>
      </c>
      <c r="C4" s="8" t="s">
        <v>390</v>
      </c>
      <c r="D4" s="5" t="s">
        <v>391</v>
      </c>
      <c r="E4" s="8" t="s">
        <v>386</v>
      </c>
      <c r="F4" s="5" t="s">
        <v>392</v>
      </c>
      <c r="G4" s="8" t="s">
        <v>178</v>
      </c>
      <c r="I4" s="13" t="s">
        <v>388</v>
      </c>
      <c r="J4" s="29" t="n">
        <f aca="false">COUNTIFS($A$4:$A$60,$I4,$E$4:$E$60,J$3)</f>
        <v>0</v>
      </c>
      <c r="K4" s="29" t="n">
        <f aca="false">COUNTIFS($A$4:$A$60,$I4,$E$4:$E$60,K$3)</f>
        <v>1</v>
      </c>
      <c r="L4" s="29" t="n">
        <f aca="false">COUNTIFS($A$4:$A$60,$I4,$E$4:$E$60,L$3)</f>
        <v>2</v>
      </c>
      <c r="M4" s="29" t="n">
        <f aca="false">SUM(J4:L4)</f>
        <v>3</v>
      </c>
    </row>
    <row r="5" customFormat="false" ht="23.85" hidden="false" customHeight="false" outlineLevel="0" collapsed="false">
      <c r="A5" s="8" t="s">
        <v>388</v>
      </c>
      <c r="B5" s="8" t="s">
        <v>393</v>
      </c>
      <c r="C5" s="8" t="s">
        <v>394</v>
      </c>
      <c r="D5" s="5" t="s">
        <v>395</v>
      </c>
      <c r="E5" s="8" t="s">
        <v>387</v>
      </c>
      <c r="F5" s="5" t="s">
        <v>396</v>
      </c>
      <c r="G5" s="8" t="s">
        <v>211</v>
      </c>
      <c r="I5" s="13" t="s">
        <v>397</v>
      </c>
      <c r="J5" s="29" t="n">
        <f aca="false">COUNTIFS($A$4:$A$60,$I5,$E$4:$E$60,J$3)</f>
        <v>3</v>
      </c>
      <c r="K5" s="29" t="n">
        <f aca="false">COUNTIFS($A$4:$A$60,$I5,$E$4:$E$60,K$3)</f>
        <v>1</v>
      </c>
      <c r="L5" s="29" t="n">
        <f aca="false">COUNTIFS($A$4:$A$60,$I5,$E$4:$E$60,L$3)</f>
        <v>0</v>
      </c>
      <c r="M5" s="29" t="n">
        <f aca="false">SUM(J5:L5)</f>
        <v>4</v>
      </c>
    </row>
    <row r="6" customFormat="false" ht="23.85" hidden="false" customHeight="false" outlineLevel="0" collapsed="false">
      <c r="A6" s="8" t="s">
        <v>388</v>
      </c>
      <c r="B6" s="8" t="s">
        <v>398</v>
      </c>
      <c r="C6" s="8" t="s">
        <v>399</v>
      </c>
      <c r="D6" s="5" t="s">
        <v>400</v>
      </c>
      <c r="E6" s="8" t="s">
        <v>387</v>
      </c>
      <c r="F6" s="5" t="s">
        <v>401</v>
      </c>
      <c r="G6" s="8" t="s">
        <v>402</v>
      </c>
      <c r="I6" s="13" t="s">
        <v>403</v>
      </c>
      <c r="J6" s="29" t="n">
        <f aca="false">COUNTIFS($A$4:$A$60,$I6,$E$4:$E$60,J$3)</f>
        <v>0</v>
      </c>
      <c r="K6" s="29" t="n">
        <f aca="false">COUNTIFS($A$4:$A$60,$I6,$E$4:$E$60,K$3)</f>
        <v>8</v>
      </c>
      <c r="L6" s="29" t="n">
        <f aca="false">COUNTIFS($A$4:$A$60,$I6,$E$4:$E$60,L$3)</f>
        <v>3</v>
      </c>
      <c r="M6" s="29" t="n">
        <f aca="false">SUM(J6:L6)</f>
        <v>11</v>
      </c>
    </row>
    <row r="7" customFormat="false" ht="23.85" hidden="false" customHeight="false" outlineLevel="0" collapsed="false">
      <c r="A7" s="8" t="s">
        <v>397</v>
      </c>
      <c r="B7" s="8" t="s">
        <v>404</v>
      </c>
      <c r="C7" s="8" t="s">
        <v>405</v>
      </c>
      <c r="D7" s="5" t="s">
        <v>406</v>
      </c>
      <c r="E7" s="8" t="s">
        <v>385</v>
      </c>
      <c r="F7" s="5" t="s">
        <v>407</v>
      </c>
      <c r="G7" s="8" t="s">
        <v>210</v>
      </c>
      <c r="I7" s="13" t="s">
        <v>408</v>
      </c>
      <c r="J7" s="29" t="n">
        <f aca="false">COUNTIFS($A$4:$A$60,$I7,$E$4:$E$60,J$3)</f>
        <v>0</v>
      </c>
      <c r="K7" s="29" t="n">
        <f aca="false">COUNTIFS($A$4:$A$60,$I7,$E$4:$E$60,K$3)</f>
        <v>0</v>
      </c>
      <c r="L7" s="29" t="n">
        <f aca="false">COUNTIFS($A$4:$A$60,$I7,$E$4:$E$60,L$3)</f>
        <v>2</v>
      </c>
      <c r="M7" s="29" t="n">
        <f aca="false">SUM(J7:L7)</f>
        <v>2</v>
      </c>
    </row>
    <row r="8" customFormat="false" ht="23.85" hidden="false" customHeight="false" outlineLevel="0" collapsed="false">
      <c r="A8" s="8" t="s">
        <v>397</v>
      </c>
      <c r="B8" s="8" t="s">
        <v>404</v>
      </c>
      <c r="C8" s="8" t="s">
        <v>409</v>
      </c>
      <c r="D8" s="5" t="s">
        <v>410</v>
      </c>
      <c r="E8" s="8" t="s">
        <v>385</v>
      </c>
      <c r="F8" s="5" t="s">
        <v>411</v>
      </c>
      <c r="G8" s="8" t="s">
        <v>210</v>
      </c>
      <c r="I8" s="13" t="s">
        <v>412</v>
      </c>
      <c r="J8" s="29" t="n">
        <f aca="false">COUNTIFS($A$4:$A$60,$I8,$E$4:$E$60,J$3)</f>
        <v>0</v>
      </c>
      <c r="K8" s="29" t="n">
        <f aca="false">COUNTIFS($A$4:$A$60,$I8,$E$4:$E$60,K$3)</f>
        <v>0</v>
      </c>
      <c r="L8" s="29" t="n">
        <f aca="false">COUNTIFS($A$4:$A$60,$I8,$E$4:$E$60,L$3)</f>
        <v>2</v>
      </c>
      <c r="M8" s="29" t="n">
        <f aca="false">SUM(J8:L8)</f>
        <v>2</v>
      </c>
    </row>
    <row r="9" customFormat="false" ht="23.85" hidden="false" customHeight="false" outlineLevel="0" collapsed="false">
      <c r="A9" s="8" t="s">
        <v>397</v>
      </c>
      <c r="B9" s="8" t="s">
        <v>413</v>
      </c>
      <c r="C9" s="8" t="s">
        <v>414</v>
      </c>
      <c r="D9" s="5" t="s">
        <v>415</v>
      </c>
      <c r="E9" s="8" t="s">
        <v>386</v>
      </c>
      <c r="F9" s="5" t="s">
        <v>416</v>
      </c>
      <c r="G9" s="8" t="s">
        <v>417</v>
      </c>
      <c r="I9" s="13" t="s">
        <v>418</v>
      </c>
      <c r="J9" s="29" t="n">
        <f aca="false">COUNTIFS($A$4:$A$60,$I9,$E$4:$E$60,J$3)</f>
        <v>0</v>
      </c>
      <c r="K9" s="29" t="n">
        <f aca="false">COUNTIFS($A$4:$A$60,$I9,$E$4:$E$60,K$3)</f>
        <v>0</v>
      </c>
      <c r="L9" s="29" t="n">
        <f aca="false">COUNTIFS($A$4:$A$60,$I9,$E$4:$E$60,L$3)</f>
        <v>2</v>
      </c>
      <c r="M9" s="29" t="n">
        <f aca="false">SUM(J9:L9)</f>
        <v>2</v>
      </c>
    </row>
    <row r="10" customFormat="false" ht="23.85" hidden="false" customHeight="false" outlineLevel="0" collapsed="false">
      <c r="A10" s="8" t="s">
        <v>397</v>
      </c>
      <c r="B10" s="8" t="s">
        <v>413</v>
      </c>
      <c r="C10" s="8" t="s">
        <v>419</v>
      </c>
      <c r="D10" s="5" t="s">
        <v>420</v>
      </c>
      <c r="E10" s="8" t="s">
        <v>385</v>
      </c>
      <c r="F10" s="5" t="s">
        <v>421</v>
      </c>
      <c r="G10" s="8" t="s">
        <v>210</v>
      </c>
      <c r="I10" s="20" t="s">
        <v>363</v>
      </c>
      <c r="J10" s="30" t="n">
        <f aca="false">SUM(J4:J9)</f>
        <v>3</v>
      </c>
      <c r="K10" s="30" t="n">
        <f aca="false">SUM(K4:K9)</f>
        <v>10</v>
      </c>
      <c r="L10" s="30" t="n">
        <f aca="false">SUM(L4:L9)</f>
        <v>11</v>
      </c>
      <c r="M10" s="30" t="n">
        <f aca="false">SUM(M4:M9)</f>
        <v>24</v>
      </c>
    </row>
    <row r="11" customFormat="false" ht="35.05" hidden="false" customHeight="false" outlineLevel="0" collapsed="false">
      <c r="A11" s="8" t="s">
        <v>403</v>
      </c>
      <c r="B11" s="8" t="s">
        <v>422</v>
      </c>
      <c r="C11" s="8" t="s">
        <v>423</v>
      </c>
      <c r="D11" s="5" t="s">
        <v>424</v>
      </c>
      <c r="E11" s="8" t="s">
        <v>386</v>
      </c>
      <c r="F11" s="5" t="s">
        <v>425</v>
      </c>
      <c r="G11" s="8" t="s">
        <v>426</v>
      </c>
    </row>
    <row r="12" customFormat="false" ht="23.85" hidden="false" customHeight="false" outlineLevel="0" collapsed="false">
      <c r="A12" s="8" t="s">
        <v>403</v>
      </c>
      <c r="B12" s="8" t="s">
        <v>422</v>
      </c>
      <c r="C12" s="8" t="s">
        <v>427</v>
      </c>
      <c r="D12" s="5" t="s">
        <v>428</v>
      </c>
      <c r="E12" s="8" t="s">
        <v>386</v>
      </c>
      <c r="F12" s="5" t="s">
        <v>429</v>
      </c>
      <c r="G12" s="8" t="s">
        <v>430</v>
      </c>
      <c r="I12" s="31" t="s">
        <v>431</v>
      </c>
      <c r="M12" s="32" t="n">
        <f aca="false">K10+L10</f>
        <v>21</v>
      </c>
    </row>
    <row r="13" customFormat="false" ht="23.85" hidden="false" customHeight="false" outlineLevel="0" collapsed="false">
      <c r="A13" s="8" t="s">
        <v>403</v>
      </c>
      <c r="B13" s="8" t="s">
        <v>422</v>
      </c>
      <c r="C13" s="8" t="s">
        <v>432</v>
      </c>
      <c r="D13" s="5" t="s">
        <v>433</v>
      </c>
      <c r="E13" s="8" t="s">
        <v>387</v>
      </c>
      <c r="F13" s="5" t="s">
        <v>434</v>
      </c>
      <c r="G13" s="8" t="s">
        <v>435</v>
      </c>
    </row>
    <row r="14" customFormat="false" ht="23.85" hidden="false" customHeight="false" outlineLevel="0" collapsed="false">
      <c r="A14" s="8" t="s">
        <v>403</v>
      </c>
      <c r="B14" s="8" t="s">
        <v>422</v>
      </c>
      <c r="C14" s="8" t="s">
        <v>436</v>
      </c>
      <c r="D14" s="5" t="s">
        <v>437</v>
      </c>
      <c r="E14" s="8" t="s">
        <v>386</v>
      </c>
      <c r="F14" s="5" t="s">
        <v>438</v>
      </c>
      <c r="G14" s="8" t="s">
        <v>201</v>
      </c>
    </row>
    <row r="15" customFormat="false" ht="23.85" hidden="false" customHeight="false" outlineLevel="0" collapsed="false">
      <c r="A15" s="8" t="s">
        <v>403</v>
      </c>
      <c r="B15" s="8" t="s">
        <v>439</v>
      </c>
      <c r="C15" s="8" t="s">
        <v>440</v>
      </c>
      <c r="D15" s="5" t="s">
        <v>441</v>
      </c>
      <c r="E15" s="8" t="s">
        <v>386</v>
      </c>
      <c r="F15" s="5" t="s">
        <v>442</v>
      </c>
      <c r="G15" s="8" t="s">
        <v>181</v>
      </c>
    </row>
    <row r="16" customFormat="false" ht="23.85" hidden="false" customHeight="false" outlineLevel="0" collapsed="false">
      <c r="A16" s="8" t="s">
        <v>403</v>
      </c>
      <c r="B16" s="8" t="s">
        <v>439</v>
      </c>
      <c r="C16" s="8" t="s">
        <v>443</v>
      </c>
      <c r="D16" s="5" t="s">
        <v>444</v>
      </c>
      <c r="E16" s="8" t="s">
        <v>387</v>
      </c>
      <c r="F16" s="5" t="s">
        <v>445</v>
      </c>
      <c r="G16" s="8" t="s">
        <v>198</v>
      </c>
    </row>
    <row r="17" customFormat="false" ht="15" hidden="false" customHeight="false" outlineLevel="0" collapsed="false">
      <c r="A17" s="8" t="s">
        <v>403</v>
      </c>
      <c r="B17" s="8" t="s">
        <v>446</v>
      </c>
      <c r="C17" s="8" t="s">
        <v>447</v>
      </c>
      <c r="D17" s="5" t="s">
        <v>448</v>
      </c>
      <c r="E17" s="8" t="s">
        <v>386</v>
      </c>
      <c r="F17" s="5" t="s">
        <v>449</v>
      </c>
      <c r="G17" s="8" t="s">
        <v>172</v>
      </c>
    </row>
    <row r="18" customFormat="false" ht="23.85" hidden="false" customHeight="false" outlineLevel="0" collapsed="false">
      <c r="A18" s="8" t="s">
        <v>403</v>
      </c>
      <c r="B18" s="8" t="s">
        <v>446</v>
      </c>
      <c r="C18" s="8" t="s">
        <v>450</v>
      </c>
      <c r="D18" s="5" t="s">
        <v>451</v>
      </c>
      <c r="E18" s="8" t="s">
        <v>386</v>
      </c>
      <c r="F18" s="5" t="s">
        <v>452</v>
      </c>
      <c r="G18" s="8" t="s">
        <v>453</v>
      </c>
    </row>
    <row r="19" customFormat="false" ht="15" hidden="false" customHeight="false" outlineLevel="0" collapsed="false">
      <c r="A19" s="8" t="s">
        <v>403</v>
      </c>
      <c r="B19" s="8" t="s">
        <v>454</v>
      </c>
      <c r="C19" s="8" t="s">
        <v>455</v>
      </c>
      <c r="D19" s="5" t="s">
        <v>456</v>
      </c>
      <c r="E19" s="8" t="s">
        <v>387</v>
      </c>
      <c r="F19" s="5" t="s">
        <v>457</v>
      </c>
      <c r="G19" s="8" t="s">
        <v>169</v>
      </c>
    </row>
    <row r="20" customFormat="false" ht="23.85" hidden="false" customHeight="false" outlineLevel="0" collapsed="false">
      <c r="A20" s="8" t="s">
        <v>403</v>
      </c>
      <c r="B20" s="8" t="s">
        <v>454</v>
      </c>
      <c r="C20" s="8" t="s">
        <v>458</v>
      </c>
      <c r="D20" s="5" t="s">
        <v>459</v>
      </c>
      <c r="E20" s="8" t="s">
        <v>386</v>
      </c>
      <c r="F20" s="5" t="s">
        <v>460</v>
      </c>
      <c r="G20" s="8" t="s">
        <v>169</v>
      </c>
    </row>
    <row r="21" customFormat="false" ht="23.85" hidden="false" customHeight="false" outlineLevel="0" collapsed="false">
      <c r="A21" s="8" t="s">
        <v>403</v>
      </c>
      <c r="B21" s="8" t="s">
        <v>461</v>
      </c>
      <c r="C21" s="8" t="s">
        <v>462</v>
      </c>
      <c r="D21" s="5" t="s">
        <v>463</v>
      </c>
      <c r="E21" s="8" t="s">
        <v>386</v>
      </c>
      <c r="F21" s="5" t="s">
        <v>464</v>
      </c>
      <c r="G21" s="8" t="s">
        <v>166</v>
      </c>
    </row>
    <row r="22" customFormat="false" ht="23.85" hidden="false" customHeight="false" outlineLevel="0" collapsed="false">
      <c r="A22" s="8" t="s">
        <v>408</v>
      </c>
      <c r="B22" s="8" t="s">
        <v>465</v>
      </c>
      <c r="C22" s="8" t="s">
        <v>466</v>
      </c>
      <c r="D22" s="5" t="s">
        <v>467</v>
      </c>
      <c r="E22" s="8" t="s">
        <v>387</v>
      </c>
      <c r="F22" s="5" t="s">
        <v>468</v>
      </c>
      <c r="G22" s="8" t="s">
        <v>195</v>
      </c>
    </row>
    <row r="23" customFormat="false" ht="23.85" hidden="false" customHeight="false" outlineLevel="0" collapsed="false">
      <c r="A23" s="8" t="s">
        <v>408</v>
      </c>
      <c r="B23" s="8" t="s">
        <v>469</v>
      </c>
      <c r="C23" s="8" t="s">
        <v>470</v>
      </c>
      <c r="D23" s="5" t="s">
        <v>471</v>
      </c>
      <c r="E23" s="8" t="s">
        <v>387</v>
      </c>
      <c r="F23" s="5" t="s">
        <v>472</v>
      </c>
      <c r="G23" s="8" t="s">
        <v>195</v>
      </c>
    </row>
    <row r="24" customFormat="false" ht="23.85" hidden="false" customHeight="false" outlineLevel="0" collapsed="false">
      <c r="A24" s="8" t="s">
        <v>412</v>
      </c>
      <c r="B24" s="8" t="s">
        <v>473</v>
      </c>
      <c r="C24" s="8" t="s">
        <v>474</v>
      </c>
      <c r="D24" s="5" t="s">
        <v>475</v>
      </c>
      <c r="E24" s="8" t="s">
        <v>387</v>
      </c>
      <c r="F24" s="5" t="s">
        <v>476</v>
      </c>
      <c r="G24" s="8" t="s">
        <v>178</v>
      </c>
    </row>
    <row r="25" customFormat="false" ht="23.85" hidden="false" customHeight="false" outlineLevel="0" collapsed="false">
      <c r="A25" s="8" t="s">
        <v>412</v>
      </c>
      <c r="B25" s="8" t="s">
        <v>477</v>
      </c>
      <c r="C25" s="8" t="s">
        <v>478</v>
      </c>
      <c r="D25" s="5" t="s">
        <v>479</v>
      </c>
      <c r="E25" s="8" t="s">
        <v>387</v>
      </c>
      <c r="F25" s="5" t="s">
        <v>480</v>
      </c>
      <c r="G25" s="8" t="s">
        <v>178</v>
      </c>
    </row>
    <row r="26" customFormat="false" ht="15" hidden="false" customHeight="false" outlineLevel="0" collapsed="false">
      <c r="A26" s="8" t="s">
        <v>418</v>
      </c>
      <c r="B26" s="8" t="s">
        <v>481</v>
      </c>
      <c r="C26" s="8" t="s">
        <v>482</v>
      </c>
      <c r="D26" s="5" t="s">
        <v>483</v>
      </c>
      <c r="E26" s="8" t="s">
        <v>387</v>
      </c>
      <c r="F26" s="5" t="s">
        <v>484</v>
      </c>
      <c r="G26" s="8" t="s">
        <v>175</v>
      </c>
    </row>
    <row r="27" customFormat="false" ht="23.85" hidden="false" customHeight="false" outlineLevel="0" collapsed="false">
      <c r="A27" s="8" t="s">
        <v>418</v>
      </c>
      <c r="B27" s="8" t="s">
        <v>481</v>
      </c>
      <c r="C27" s="8" t="s">
        <v>485</v>
      </c>
      <c r="D27" s="5" t="s">
        <v>486</v>
      </c>
      <c r="E27" s="8" t="s">
        <v>387</v>
      </c>
      <c r="F27" s="5" t="s">
        <v>487</v>
      </c>
      <c r="G27" s="8" t="s">
        <v>175</v>
      </c>
    </row>
  </sheetData>
  <autoFilter ref="A3:G27"/>
  <conditionalFormatting sqref="E4:E60">
    <cfRule type="cellIs" priority="2" operator="equal" aboveAverage="0" equalAverage="0" bottom="0" percent="0" rank="0" text="" dxfId="11">
      <formula>"Implemented"</formula>
    </cfRule>
    <cfRule type="cellIs" priority="3" operator="equal" aboveAverage="0" equalAverage="0" bottom="0" percent="0" rank="0" text="" dxfId="10">
      <formula>"Partial"</formula>
    </cfRule>
    <cfRule type="cellIs" priority="4" operator="equal" aboveAverage="0" equalAverage="0" bottom="0" percent="0" rank="0" text="" dxfId="8">
      <formula>"Missing"</formula>
    </cfRule>
  </conditionalFormatting>
  <dataValidations count="1">
    <dataValidation allowBlank="false" errorStyle="stop" operator="between" showDropDown="false" showErrorMessage="true" showInputMessage="false" sqref="E4:E60" type="list">
      <formula1>"Implemented,Partial,Missing"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4" min="3" style="0" width="14"/>
    <col collapsed="false" customWidth="true" hidden="false" outlineLevel="0" max="5" min="5" style="0" width="10"/>
    <col collapsed="false" customWidth="true" hidden="false" outlineLevel="0" max="6" min="6" style="0" width="30"/>
    <col collapsed="false" customWidth="true" hidden="false" outlineLevel="0" max="7" min="7" style="0" width="10"/>
    <col collapsed="false" customWidth="true" hidden="false" outlineLevel="0" max="9" min="8" style="0" width="13"/>
    <col collapsed="false" customWidth="true" hidden="false" outlineLevel="0" max="10" min="10" style="0" width="50"/>
  </cols>
  <sheetData>
    <row r="1" customFormat="false" ht="17.35" hidden="false" customHeight="false" outlineLevel="0" collapsed="false">
      <c r="A1" s="1" t="s">
        <v>488</v>
      </c>
    </row>
    <row r="2" customFormat="false" ht="15" hidden="false" customHeight="false" outlineLevel="0" collapsed="false">
      <c r="A2" s="2" t="s">
        <v>489</v>
      </c>
    </row>
    <row r="3" customFormat="false" ht="15" hidden="false" customHeight="false" outlineLevel="0" collapsed="false">
      <c r="A3" s="7" t="s">
        <v>490</v>
      </c>
      <c r="B3" s="7" t="s">
        <v>491</v>
      </c>
      <c r="C3" s="7" t="s">
        <v>492</v>
      </c>
      <c r="D3" s="7" t="s">
        <v>493</v>
      </c>
      <c r="E3" s="7" t="s">
        <v>494</v>
      </c>
      <c r="F3" s="7" t="s">
        <v>41</v>
      </c>
      <c r="G3" s="7" t="s">
        <v>495</v>
      </c>
      <c r="H3" s="7" t="s">
        <v>496</v>
      </c>
      <c r="I3" s="7" t="s">
        <v>6</v>
      </c>
      <c r="J3" s="7" t="s">
        <v>497</v>
      </c>
    </row>
    <row r="4" customFormat="false" ht="23.85" hidden="false" customHeight="false" outlineLevel="0" collapsed="false">
      <c r="A4" s="33" t="s">
        <v>498</v>
      </c>
      <c r="B4" s="33" t="s">
        <v>499</v>
      </c>
      <c r="C4" s="34" t="s">
        <v>162</v>
      </c>
      <c r="D4" s="34" t="s">
        <v>427</v>
      </c>
      <c r="E4" s="34" t="s">
        <v>500</v>
      </c>
      <c r="F4" s="33" t="s">
        <v>64</v>
      </c>
      <c r="G4" s="34" t="s">
        <v>247</v>
      </c>
      <c r="H4" s="35" t="n">
        <v>46371</v>
      </c>
      <c r="I4" s="34" t="s">
        <v>501</v>
      </c>
      <c r="J4" s="33" t="s">
        <v>502</v>
      </c>
    </row>
  </sheetData>
  <dataValidations count="3">
    <dataValidation allowBlank="false" errorStyle="stop" operator="between" showDropDown="false" showErrorMessage="true" showInputMessage="false" sqref="E4:E60" type="list">
      <formula1>"P1,P2,P3"</formula1>
      <formula2>0</formula2>
    </dataValidation>
    <dataValidation allowBlank="false" errorStyle="stop" operator="between" showDropDown="false" showErrorMessage="true" showInputMessage="false" sqref="G4:G60" type="list">
      <formula1>"Small,Medium,Large"</formula1>
      <formula2>0</formula2>
    </dataValidation>
    <dataValidation allowBlank="false" errorStyle="stop" operator="between" showDropDown="false" showErrorMessage="true" showInputMessage="false" sqref="I4:I60"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3" min="3" style="0" width="44"/>
    <col collapsed="false" customWidth="true" hidden="false" outlineLevel="0" max="4" min="4" style="0" width="34"/>
    <col collapsed="false" customWidth="true" hidden="false" outlineLevel="0" max="5" min="5" style="0" width="32"/>
    <col collapsed="false" customWidth="true" hidden="false" outlineLevel="0" max="7" min="6" style="0" width="12"/>
    <col collapsed="false" customWidth="true" hidden="false" outlineLevel="0" max="8" min="8" style="0" width="30"/>
  </cols>
  <sheetData>
    <row r="1" customFormat="false" ht="17.35" hidden="false" customHeight="false" outlineLevel="0" collapsed="false">
      <c r="A1" s="1" t="s">
        <v>503</v>
      </c>
    </row>
    <row r="2" customFormat="false" ht="15" hidden="false" customHeight="false" outlineLevel="0" collapsed="false">
      <c r="A2" s="2" t="s">
        <v>504</v>
      </c>
    </row>
    <row r="3" customFormat="false" ht="15" hidden="false" customHeight="false" outlineLevel="0" collapsed="false">
      <c r="A3" s="7" t="s">
        <v>505</v>
      </c>
      <c r="B3" s="7" t="s">
        <v>506</v>
      </c>
      <c r="C3" s="7" t="s">
        <v>507</v>
      </c>
      <c r="D3" s="7" t="s">
        <v>508</v>
      </c>
      <c r="E3" s="7" t="s">
        <v>41</v>
      </c>
      <c r="F3" s="7" t="s">
        <v>509</v>
      </c>
      <c r="G3" s="7" t="s">
        <v>6</v>
      </c>
      <c r="H3" s="7" t="s">
        <v>290</v>
      </c>
    </row>
    <row r="4" customFormat="false" ht="23.85" hidden="false" customHeight="false" outlineLevel="0" collapsed="false">
      <c r="A4" s="33" t="s">
        <v>510</v>
      </c>
      <c r="B4" s="33" t="s">
        <v>511</v>
      </c>
      <c r="C4" s="33" t="s">
        <v>512</v>
      </c>
      <c r="D4" s="33" t="s">
        <v>513</v>
      </c>
      <c r="E4" s="33" t="s">
        <v>326</v>
      </c>
      <c r="F4" s="34" t="s">
        <v>514</v>
      </c>
      <c r="G4" s="34" t="s">
        <v>387</v>
      </c>
      <c r="H4" s="33" t="s">
        <v>515</v>
      </c>
    </row>
  </sheetData>
  <dataValidations count="1">
    <dataValidation allowBlank="false" errorStyle="stop" operator="between" showDropDown="false" showErrorMessage="true" showInputMessage="false" sqref="G4:G60" type="list">
      <formula1>"Available,Partial,Missing"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2026-10-26T18:40:28Z</dcterms:created>
  <dc:creator>openpyxl</dc:creator>
  <dc:description/>
  <dc:language>en-US</dc:language>
  <cp:lastModifiedBy/>
  <dcterms:modified xsi:type="dcterms:W3CDTF">2026-10-26T18:40:28Z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